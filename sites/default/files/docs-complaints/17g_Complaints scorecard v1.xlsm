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Nazanin\users\BACK\Phillip.Dearn\From Sarb\Question 17 Attachment Redone\"/>
    </mc:Choice>
  </mc:AlternateContent>
  <bookViews>
    <workbookView xWindow="0" yWindow="0" windowWidth="20490" windowHeight="7755" activeTab="3"/>
  </bookViews>
  <sheets>
    <sheet name="User" sheetId="2" r:id="rId1"/>
    <sheet name="Account Fix" sheetId="1" r:id="rId2"/>
    <sheet name="Team Performance" sheetId="3" r:id="rId3"/>
    <sheet name="Dashboard" sheetId="8" r:id="rId4"/>
  </sheets>
  <definedNames>
    <definedName name="_xlnm._FilterDatabase" localSheetId="2" hidden="1">'Team Performance'!$A$1:$Z$183</definedName>
  </definedNames>
  <calcPr calcId="152511"/>
  <customWorkbookViews>
    <customWorkbookView name="Gemma Johnson - Personal View" guid="{235E8A25-1CC1-4E7F-AA7E-38EA0DEEA9DB}" mergeInterval="0" personalView="1" maximized="1" xWindow="-4" yWindow="-4" windowWidth="1608" windowHeight="864" activeSheetId="4"/>
    <customWorkbookView name="Syed Ahmed - Personal View" guid="{69240C63-12B7-470F-8204-BD04727BB980}" mergeInterval="0" personalView="1" maximized="1" xWindow="-8" yWindow="-8" windowWidth="1382" windowHeight="744"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3" i="8" l="1"/>
  <c r="I29" i="8"/>
  <c r="H29" i="8"/>
  <c r="F29" i="8"/>
  <c r="D29" i="8"/>
  <c r="M24" i="8"/>
  <c r="J24" i="8"/>
  <c r="G24" i="8"/>
  <c r="D24" i="8"/>
  <c r="N23" i="8"/>
  <c r="K23" i="8"/>
  <c r="H23" i="8"/>
  <c r="AD22" i="8"/>
  <c r="AC22" i="8"/>
  <c r="AB22" i="8"/>
  <c r="AA22" i="8"/>
  <c r="Y22" i="8"/>
  <c r="X22" i="8"/>
  <c r="W22" i="8"/>
  <c r="V22" i="8"/>
  <c r="AD21" i="8"/>
  <c r="AC21" i="8"/>
  <c r="AB21" i="8"/>
  <c r="AA21" i="8"/>
  <c r="Y21" i="8"/>
  <c r="X21" i="8"/>
  <c r="W21" i="8"/>
  <c r="V21" i="8"/>
  <c r="AD20" i="8"/>
  <c r="AC20" i="8"/>
  <c r="AB20" i="8"/>
  <c r="AA20" i="8"/>
  <c r="Y20" i="8"/>
  <c r="X20" i="8"/>
  <c r="W20" i="8"/>
  <c r="V20" i="8"/>
  <c r="AD19" i="8"/>
  <c r="AC19" i="8"/>
  <c r="AB19" i="8"/>
  <c r="AA19" i="8"/>
  <c r="Y19" i="8"/>
  <c r="W19" i="8"/>
  <c r="V19" i="8"/>
  <c r="AD18" i="8"/>
  <c r="AC18" i="8"/>
  <c r="AB18" i="8"/>
  <c r="AA18" i="8"/>
  <c r="Y18" i="8"/>
  <c r="X18" i="8"/>
  <c r="W18" i="8"/>
  <c r="V18" i="8"/>
  <c r="AD17" i="8"/>
  <c r="AC17" i="8"/>
  <c r="AB17" i="8"/>
  <c r="AA17" i="8"/>
  <c r="Y17" i="8"/>
  <c r="X17" i="8"/>
  <c r="W17" i="8"/>
  <c r="V17" i="8"/>
  <c r="AD16" i="8"/>
  <c r="AC16" i="8"/>
  <c r="AB16" i="8"/>
  <c r="AA16" i="8"/>
  <c r="Y16" i="8"/>
  <c r="X16" i="8"/>
  <c r="W16" i="8"/>
  <c r="V16" i="8"/>
  <c r="AD15" i="8"/>
  <c r="AC15" i="8"/>
  <c r="AB15" i="8"/>
  <c r="AA15" i="8"/>
  <c r="Y15" i="8"/>
  <c r="X15" i="8"/>
  <c r="W15" i="8"/>
  <c r="V15" i="8"/>
  <c r="AD14" i="8"/>
  <c r="AC14" i="8"/>
  <c r="AB14" i="8"/>
  <c r="AA14" i="8"/>
  <c r="Y14" i="8"/>
  <c r="X14" i="8"/>
  <c r="W14" i="8"/>
  <c r="V14" i="8"/>
  <c r="AD13" i="8"/>
  <c r="AC13" i="8"/>
  <c r="AB13" i="8"/>
  <c r="AA13" i="8"/>
  <c r="Y13" i="8"/>
  <c r="X13" i="8"/>
  <c r="W13" i="8"/>
  <c r="V13" i="8"/>
  <c r="AD12" i="8"/>
  <c r="AC12" i="8"/>
  <c r="AB12" i="8"/>
  <c r="AA12" i="8"/>
  <c r="Y12" i="8"/>
  <c r="X12" i="8"/>
  <c r="W12" i="8"/>
  <c r="V12" i="8"/>
  <c r="AD23" i="8" l="1"/>
  <c r="M25" i="8" s="1"/>
  <c r="M26" i="8" s="1"/>
  <c r="AA23" i="8"/>
  <c r="D25" i="8" s="1"/>
  <c r="D26" i="8" s="1"/>
  <c r="AB23" i="8"/>
  <c r="G25" i="8" s="1"/>
  <c r="G26" i="8" s="1"/>
  <c r="N27" i="8"/>
  <c r="M28" i="8" s="1"/>
  <c r="AC23" i="8"/>
  <c r="J25" i="8" s="1"/>
  <c r="J26" i="8" s="1"/>
  <c r="H27" i="8"/>
  <c r="G28" i="8" s="1"/>
  <c r="E27" i="8"/>
  <c r="D28" i="8" s="1"/>
  <c r="Y23" i="8"/>
  <c r="V23" i="8"/>
  <c r="W23" i="8"/>
  <c r="J53" i="1" l="1"/>
  <c r="I53" i="1"/>
  <c r="H53" i="1"/>
  <c r="G53" i="1"/>
  <c r="F53" i="1"/>
  <c r="E53" i="1"/>
  <c r="E55" i="1" s="1"/>
  <c r="F55" i="1" s="1"/>
  <c r="J69" i="2" l="1"/>
  <c r="I69" i="2"/>
  <c r="H69" i="2"/>
  <c r="G69" i="2"/>
  <c r="F69" i="2"/>
  <c r="E69" i="2"/>
  <c r="E71" i="2" l="1"/>
  <c r="F71" i="2" s="1"/>
  <c r="X19" i="8" l="1"/>
  <c r="X23" i="8" s="1"/>
  <c r="K27" i="8" l="1"/>
  <c r="J28" i="8" s="1"/>
</calcChain>
</file>

<file path=xl/comments1.xml><?xml version="1.0" encoding="utf-8"?>
<comments xmlns="http://schemas.openxmlformats.org/spreadsheetml/2006/main">
  <authors>
    <author>Saima Begum</author>
    <author>Saika Nazir</author>
    <author>Author</author>
  </authors>
  <commentList>
    <comment ref="D14" authorId="0" shapeId="0">
      <text>
        <r>
          <rPr>
            <b/>
            <sz val="9"/>
            <color indexed="81"/>
            <rFont val="Tahoma"/>
            <family val="2"/>
          </rPr>
          <t>Using your voice to project professional confidence</t>
        </r>
      </text>
    </comment>
    <comment ref="D15" authorId="0" shapeId="0">
      <text>
        <r>
          <rPr>
            <b/>
            <sz val="9"/>
            <color indexed="81"/>
            <rFont val="Tahoma"/>
            <family val="2"/>
          </rPr>
          <t>Industry codes/words</t>
        </r>
      </text>
    </comment>
    <comment ref="D16" authorId="0" shapeId="0">
      <text>
        <r>
          <rPr>
            <b/>
            <sz val="9"/>
            <color indexed="81"/>
            <rFont val="Tahoma"/>
            <family val="2"/>
          </rPr>
          <t xml:space="preserve">- Tone of the voice 
- </t>
        </r>
      </text>
    </comment>
    <comment ref="D17" authorId="0" shapeId="0">
      <text>
        <r>
          <rPr>
            <b/>
            <sz val="9"/>
            <color indexed="81"/>
            <rFont val="Tahoma"/>
            <family val="2"/>
          </rPr>
          <t>- Open questions
- Probing questions
- Closed questions</t>
        </r>
      </text>
    </comment>
    <comment ref="D20" authorId="0" shapeId="0">
      <text>
        <r>
          <rPr>
            <b/>
            <sz val="9"/>
            <color indexed="81"/>
            <rFont val="Tahoma"/>
            <family val="2"/>
          </rPr>
          <t>- Adapting to customers feelings/emotions</t>
        </r>
      </text>
    </comment>
    <comment ref="D23" authorId="0" shapeId="0">
      <text>
        <r>
          <rPr>
            <b/>
            <sz val="9"/>
            <color indexed="81"/>
            <rFont val="Tahoma"/>
            <family val="2"/>
          </rPr>
          <t xml:space="preserve">- Right DPA questions
 - Aware of the answers given by customer 
- Email containg correct customer details </t>
        </r>
      </text>
    </comment>
    <comment ref="D25" authorId="0" shapeId="0">
      <text>
        <r>
          <rPr>
            <b/>
            <sz val="10"/>
            <color indexed="81"/>
            <rFont val="Arial"/>
            <family val="2"/>
          </rPr>
          <t>Letter codes: 
CD1a  – No contact, need further information 
CD1b  – No contact, Complaint resolved 
CD1c  – 48hrs Letter
CD1d  – Contacted customer, complaint resolved 
CD2    – Need more information 
CD3    – General chase letter 
CD4    – Close complaint, no contact 
CD5    – Customer happy with the resolution – close complaint
CD6    – General holding letter 
CD7    – 8 week letter
CD8    – Deadlock letter</t>
        </r>
        <r>
          <rPr>
            <sz val="10"/>
            <color indexed="81"/>
            <rFont val="Tahoma"/>
            <family val="2"/>
          </rPr>
          <t xml:space="preserve">
</t>
        </r>
      </text>
    </comment>
    <comment ref="D26" authorId="0" shapeId="0">
      <text>
        <r>
          <rPr>
            <b/>
            <sz val="9"/>
            <color indexed="81"/>
            <rFont val="Tahoma"/>
            <family val="2"/>
          </rPr>
          <t>- calls/emails</t>
        </r>
      </text>
    </comment>
    <comment ref="D31" authorId="0" shapeId="0">
      <text>
        <r>
          <rPr>
            <b/>
            <sz val="9"/>
            <color indexed="81"/>
            <rFont val="Tahoma"/>
            <family val="2"/>
          </rPr>
          <t>-Chasing up any awaiting internal information needed</t>
        </r>
      </text>
    </comment>
    <comment ref="D33" authorId="1" shapeId="0">
      <text>
        <r>
          <rPr>
            <b/>
            <sz val="9"/>
            <color indexed="81"/>
            <rFont val="Tahoma"/>
            <family val="2"/>
          </rPr>
          <t>Complaint Resolved within 8 weeks 
OR
complaint could have been resolved sooner</t>
        </r>
      </text>
    </comment>
    <comment ref="D38" authorId="0" shapeId="0">
      <text>
        <r>
          <rPr>
            <b/>
            <sz val="9"/>
            <color indexed="81"/>
            <rFont val="Tahoma"/>
            <family val="2"/>
          </rPr>
          <t xml:space="preserve">- included relevant information 
- Asked the right questions
</t>
        </r>
      </text>
    </comment>
    <comment ref="D39" authorId="2" shapeId="0">
      <text>
        <r>
          <rPr>
            <sz val="10"/>
            <color indexed="81"/>
            <rFont val="Tahoma"/>
            <family val="2"/>
          </rPr>
          <t>A generic opening greeting will need to be used to reply to a customers emai, the generic greeting may vary slightly if we have a backlog or are behind on response</t>
        </r>
      </text>
    </comment>
    <comment ref="D40" authorId="2" shapeId="0">
      <text>
        <r>
          <rPr>
            <sz val="10"/>
            <color indexed="81"/>
            <rFont val="Tahoma"/>
            <family val="2"/>
          </rPr>
          <t>A subject should always be populated on the email even if the origional message from the customer did not include a subject</t>
        </r>
      </text>
    </comment>
    <comment ref="D41" authorId="2" shapeId="0">
      <text>
        <r>
          <rPr>
            <sz val="10"/>
            <color indexed="81"/>
            <rFont val="Tahoma"/>
            <family val="2"/>
          </rPr>
          <t>The response should be clear and structured In a way that the customer can understand and follow, so the query then response, query then response</t>
        </r>
      </text>
    </comment>
    <comment ref="D42" authorId="2" shapeId="0">
      <text>
        <r>
          <rPr>
            <sz val="10"/>
            <color indexed="81"/>
            <rFont val="Tahoma"/>
            <family val="2"/>
          </rPr>
          <t>Regardless of the tone of the customer in the email we should always respond in a clear and professional manner</t>
        </r>
      </text>
    </comment>
    <comment ref="D43" authorId="2" shapeId="0">
      <text>
        <r>
          <rPr>
            <sz val="10"/>
            <color indexed="81"/>
            <rFont val="Tahoma"/>
            <family val="2"/>
          </rPr>
          <t>Spell check should be used to avoid spelling errors</t>
        </r>
      </text>
    </comment>
    <comment ref="D44" authorId="2" shapeId="0">
      <text>
        <r>
          <rPr>
            <sz val="10"/>
            <color indexed="81"/>
            <rFont val="Tahoma"/>
            <family val="2"/>
          </rPr>
          <t>Punctuation should be checked by advisor before sending out to avoid common mistakes</t>
        </r>
      </text>
    </comment>
    <comment ref="D45" authorId="2" shapeId="0">
      <text>
        <r>
          <rPr>
            <sz val="10"/>
            <color indexed="81"/>
            <rFont val="Tahoma"/>
            <family val="2"/>
          </rPr>
          <t>We need to ensure the agent has finished writing the email before pressing send, sending a partially completed response to the customer will only generate another email or call</t>
        </r>
      </text>
    </comment>
    <comment ref="D46" authorId="2" shapeId="0">
      <text>
        <r>
          <rPr>
            <sz val="10"/>
            <color indexed="81"/>
            <rFont val="Tahoma"/>
            <family val="2"/>
          </rPr>
          <t>CAPS LOCK ON RESPONSES MAKES IT SEEM LIKE WE'RE SHOUTING AT THE CUSTOMER</t>
        </r>
      </text>
    </comment>
    <comment ref="D47" authorId="2" shapeId="0">
      <text>
        <r>
          <rPr>
            <sz val="10"/>
            <color indexed="81"/>
            <rFont val="Tahoma"/>
            <family val="2"/>
          </rPr>
          <t>Using industry language in a response to the customer should be avoided as this will confuse the customer and generate further emails requesting explanations for terminology used. Also language used in A+ isnt generic to the industry so it will not help the customer in any way</t>
        </r>
      </text>
    </comment>
    <comment ref="D48" authorId="2" shapeId="0">
      <text>
        <r>
          <rPr>
            <sz val="10"/>
            <color indexed="81"/>
            <rFont val="Tahoma"/>
            <family val="2"/>
          </rPr>
          <t>A generic closure should be used on the emails along with a pre-defined signature</t>
        </r>
      </text>
    </comment>
    <comment ref="D49" authorId="0" shapeId="0">
      <text>
        <r>
          <rPr>
            <b/>
            <sz val="9"/>
            <color indexed="81"/>
            <rFont val="Tahoma"/>
            <family val="2"/>
          </rPr>
          <t>Spelling, Grammer, Font size, Font Style, Font Colour.</t>
        </r>
      </text>
    </comment>
    <comment ref="D52" authorId="0" shapeId="0">
      <text>
        <r>
          <rPr>
            <b/>
            <sz val="9"/>
            <color indexed="81"/>
            <rFont val="Tahoma"/>
            <family val="2"/>
          </rPr>
          <t>Agent to complete: 
- Customer details
- What the complaint was about? 
- Customers quiries
- Actions by ExtraEnergy
- Conclusion 
- Proposal</t>
        </r>
      </text>
    </comment>
    <comment ref="D57" authorId="2" shapeId="0">
      <text>
        <r>
          <rPr>
            <sz val="10"/>
            <color indexed="81"/>
            <rFont val="Tahoma"/>
            <family val="2"/>
          </rPr>
          <t>Spell check should be used to avoid spelling errors</t>
        </r>
      </text>
    </comment>
    <comment ref="D58" authorId="2" shapeId="0">
      <text>
        <r>
          <rPr>
            <sz val="10"/>
            <color indexed="81"/>
            <rFont val="Tahoma"/>
            <family val="2"/>
          </rPr>
          <t>Punctuation should be checked by advisor before sending out to avoid common mistakes</t>
        </r>
      </text>
    </comment>
    <comment ref="D59" authorId="0" shapeId="0">
      <text>
        <r>
          <rPr>
            <b/>
            <sz val="9"/>
            <color indexed="81"/>
            <rFont val="Tahoma"/>
            <family val="2"/>
          </rPr>
          <t>Layout, Tables, Titles,</t>
        </r>
      </text>
    </comment>
    <comment ref="D64" authorId="0" shapeId="0">
      <text>
        <r>
          <rPr>
            <b/>
            <sz val="9"/>
            <color indexed="81"/>
            <rFont val="Tahoma"/>
            <family val="2"/>
          </rPr>
          <t>- calls made to customer
- Actions taken 
- Agents signature included 
- note to include detailed information</t>
        </r>
      </text>
    </comment>
    <comment ref="D65" authorId="0" shapeId="0">
      <text>
        <r>
          <rPr>
            <b/>
            <sz val="9"/>
            <color indexed="81"/>
            <rFont val="Tahoma"/>
            <family val="2"/>
          </rPr>
          <t>New
Pend
Resolved</t>
        </r>
      </text>
    </comment>
    <comment ref="D67" authorId="0" shapeId="0">
      <text>
        <r>
          <rPr>
            <b/>
            <sz val="9"/>
            <color indexed="81"/>
            <rFont val="Tahoma"/>
            <family val="2"/>
          </rPr>
          <t>New
Pend
Resolved</t>
        </r>
      </text>
    </comment>
  </commentList>
</comments>
</file>

<file path=xl/sharedStrings.xml><?xml version="1.0" encoding="utf-8"?>
<sst xmlns="http://schemas.openxmlformats.org/spreadsheetml/2006/main" count="2603" uniqueCount="657">
  <si>
    <t>Complaints Scorecard</t>
  </si>
  <si>
    <t>Name:</t>
  </si>
  <si>
    <t>Stephanie Swain</t>
  </si>
  <si>
    <t>Date:</t>
  </si>
  <si>
    <t xml:space="preserve"> </t>
  </si>
  <si>
    <t>Strenght</t>
  </si>
  <si>
    <t>Weakness</t>
  </si>
  <si>
    <t>Soft skills</t>
  </si>
  <si>
    <t>No</t>
  </si>
  <si>
    <t>NA</t>
  </si>
  <si>
    <t>System</t>
  </si>
  <si>
    <t>Process</t>
  </si>
  <si>
    <t>User</t>
  </si>
  <si>
    <t xml:space="preserve">Time spent on complaint </t>
  </si>
  <si>
    <t>Agent avoided long silences during the call?</t>
  </si>
  <si>
    <t>Date complaint raised</t>
  </si>
  <si>
    <t>Date complaint closed</t>
  </si>
  <si>
    <t>Days taken to close complaint</t>
  </si>
  <si>
    <t>Agent sounded clear and confident throughout the call?</t>
  </si>
  <si>
    <t>Agent refrained from using jargon throughout the call?</t>
  </si>
  <si>
    <t>Agent sounded friendly, polite and welcoming?</t>
  </si>
  <si>
    <t>Agent used effective questioning skills?</t>
  </si>
  <si>
    <t>Agent demonstrated active listening?</t>
  </si>
  <si>
    <t>Agent acknowledged customers complaint and apologised?</t>
  </si>
  <si>
    <t>Agent adapted to the customer?</t>
  </si>
  <si>
    <t>Comments:</t>
  </si>
  <si>
    <t>Managing the complaint</t>
  </si>
  <si>
    <t>Did agent complete DPA with customer?</t>
  </si>
  <si>
    <t>Did agent contact customer within 24 hours?</t>
  </si>
  <si>
    <t xml:space="preserve">Did the agent send the correct email/s at the required time? </t>
  </si>
  <si>
    <t>Did agent keep customer updated throughout the process?</t>
  </si>
  <si>
    <t>Did the agent endeavour to offer first call resolution?</t>
  </si>
  <si>
    <t>Did agent complete all follow ups?</t>
  </si>
  <si>
    <t>Did agent have all the information required to handle complaint?</t>
  </si>
  <si>
    <t>Was agent confident in dealing with the complaint?</t>
  </si>
  <si>
    <t>Did the agent endeavour to reach a resolution with customer?</t>
  </si>
  <si>
    <t>Did the agent make all attempts to resolve before reaching deadlock?</t>
  </si>
  <si>
    <t>Did the agent create a case file for deadlock complaint?</t>
  </si>
  <si>
    <t>Email Structure</t>
  </si>
  <si>
    <t>Did the agent structure emails in a clear and concise manner?</t>
  </si>
  <si>
    <t>Did the agent use the appropriate generic greeting to the reply?</t>
  </si>
  <si>
    <t>Did the agent populate the subject field?</t>
  </si>
  <si>
    <t>Did the agent structure the response in a clear and concise manner?</t>
  </si>
  <si>
    <t>Did the agent use a professional tone in the email?</t>
  </si>
  <si>
    <t>Did the agent use spell check and avoid any spelling errors in the reply?</t>
  </si>
  <si>
    <t>Did the agent avoid any punctuation errors in the reply?</t>
  </si>
  <si>
    <t>Did the agent compile a full reply before sending to customer?</t>
  </si>
  <si>
    <t>Did the agent avoid using CAPS LOCK on reply?</t>
  </si>
  <si>
    <t>Did the agent avoid using industry jargon?</t>
  </si>
  <si>
    <t>Did the agent include a generic closure for email and signature?</t>
  </si>
  <si>
    <t>Did agent send emails in the correct format?</t>
  </si>
  <si>
    <t>Case Files</t>
  </si>
  <si>
    <t>Agent completed all fields required?</t>
  </si>
  <si>
    <t>Agent used spell check to any spelling errors ?</t>
  </si>
  <si>
    <t>Agent avoided punctuation errors?</t>
  </si>
  <si>
    <t>Agent completed the correct pro-forma?</t>
  </si>
  <si>
    <t>Case file was signed and dated by all relevant parties?</t>
  </si>
  <si>
    <t>System updates</t>
  </si>
  <si>
    <t>Did agent note all customer contact on accountplus?</t>
  </si>
  <si>
    <t>Did the agent change complaint status on accountplus accordingly?</t>
  </si>
  <si>
    <t>Did the agent scan and attach paper letters to accountplus?</t>
  </si>
  <si>
    <t>Did the agent attach all emails to accountplus?</t>
  </si>
  <si>
    <t>x</t>
  </si>
  <si>
    <t>Total</t>
  </si>
  <si>
    <t>Percent quality score</t>
  </si>
  <si>
    <t>Name</t>
  </si>
  <si>
    <t>Date</t>
  </si>
  <si>
    <t>Account/Complaint</t>
  </si>
  <si>
    <t>Date Complaint Raised</t>
  </si>
  <si>
    <t>Date Complaint Closed</t>
  </si>
  <si>
    <t>Quality Score         Yes</t>
  </si>
  <si>
    <t>Quality Score         No</t>
  </si>
  <si>
    <t>System Issue</t>
  </si>
  <si>
    <t>Process Issue</t>
  </si>
  <si>
    <t>User Issue</t>
  </si>
  <si>
    <t>Quality %</t>
  </si>
  <si>
    <t>Comments</t>
  </si>
  <si>
    <t>Date Submitted</t>
  </si>
  <si>
    <t>User  ID</t>
  </si>
  <si>
    <t>Adam Pendrey</t>
  </si>
  <si>
    <t>27.01.2015</t>
  </si>
  <si>
    <t>Notes was not updated on account plus when no contact was made, this has led to not being able to follow no contact process</t>
  </si>
  <si>
    <t>January</t>
  </si>
  <si>
    <t>Kat</t>
  </si>
  <si>
    <t>Complaints procedure not sent out. No notes to suggest when outbound calls have been made.</t>
  </si>
  <si>
    <t>Faisel Ali</t>
  </si>
  <si>
    <t>Dealt with complaint well from start to finish</t>
  </si>
  <si>
    <t>Claire Worrall</t>
  </si>
  <si>
    <t xml:space="preserve">Account dealt with </t>
  </si>
  <si>
    <t>Claire Worral</t>
  </si>
  <si>
    <t>Customer was not contacted 08.12.2014 till 13.01.2015</t>
  </si>
  <si>
    <t>Grant Carlton</t>
  </si>
  <si>
    <t>Emails not pasted in to account notes</t>
  </si>
  <si>
    <t>Emails not pasted in to account notes, did not contact cust from 10/11/2014 till 21/01/2015</t>
  </si>
  <si>
    <t>Jonathan Carr</t>
  </si>
  <si>
    <t>Account dealt with well from start to finish</t>
  </si>
  <si>
    <t>Fahim Ahmed</t>
  </si>
  <si>
    <t>Julie Thompson</t>
  </si>
  <si>
    <t>Complaints procedure not sent on time, no closure notes on account.</t>
  </si>
  <si>
    <t>Rajwinder Dhanda</t>
  </si>
  <si>
    <t>Account dealt with very well</t>
  </si>
  <si>
    <t>Julie Thomson</t>
  </si>
  <si>
    <t>10.02.2015</t>
  </si>
  <si>
    <t>/</t>
  </si>
  <si>
    <t>Incorrect account number and incorrect amount on refund to case file</t>
  </si>
  <si>
    <t>Katrina.white</t>
  </si>
  <si>
    <t>Mohammed Masum</t>
  </si>
  <si>
    <t>No information as to why DD wasn’t collected</t>
  </si>
  <si>
    <t>No information as to why this happened</t>
  </si>
  <si>
    <t>no information of who inputted incorrect read and not all notes placed on case file</t>
  </si>
  <si>
    <t>Why cust should have £70 and not all notes on case file</t>
  </si>
  <si>
    <t>12.02.2015</t>
  </si>
  <si>
    <t>Grammer incorrect sentence doeasnt make sense, need to state if our fault or not?</t>
  </si>
  <si>
    <t>Micheal Campbell</t>
  </si>
  <si>
    <t>punctuation not brilliant and missing information</t>
  </si>
  <si>
    <t>Zinguisa Mbusi</t>
  </si>
  <si>
    <t>Not all notes on case file, not enough information</t>
  </si>
  <si>
    <t>all correct</t>
  </si>
  <si>
    <t>more information required and not all notes on case file</t>
  </si>
  <si>
    <t>Shaquille Lakin</t>
  </si>
  <si>
    <t>Why shouldn’t  GWG be £25</t>
  </si>
  <si>
    <t>good information</t>
  </si>
  <si>
    <t>missing information and all notes not on case file</t>
  </si>
  <si>
    <t>Shreya Patel</t>
  </si>
  <si>
    <t>Ongoing issue, Shreya is the 5th person to deal with the complaint</t>
  </si>
  <si>
    <t>Parminder.Jaghra</t>
  </si>
  <si>
    <t>existing complaint passed to Shreya</t>
  </si>
  <si>
    <t>Zingisa Mbusi</t>
  </si>
  <si>
    <t>ongoing executive complaint</t>
  </si>
  <si>
    <t>CAB complaint</t>
  </si>
  <si>
    <t>SHASHI RAMSEY</t>
  </si>
  <si>
    <t>24/3115</t>
  </si>
  <si>
    <t>deborah.eubanks</t>
  </si>
  <si>
    <t>Bethaney gerrish</t>
  </si>
  <si>
    <t>Bethaney was great at explaining what she was doing for customer</t>
  </si>
  <si>
    <t>Anneisha Toussaaint</t>
  </si>
  <si>
    <t>1st email sent to customer explaining process</t>
  </si>
  <si>
    <t>DPA</t>
  </si>
  <si>
    <t>chris.edge</t>
  </si>
  <si>
    <t>saima.begum</t>
  </si>
  <si>
    <t>Week 1</t>
  </si>
  <si>
    <t>Week 2</t>
  </si>
  <si>
    <t>Week 3</t>
  </si>
  <si>
    <t>Week 4</t>
  </si>
  <si>
    <t>Department: Complaints</t>
  </si>
  <si>
    <t>Completions</t>
  </si>
  <si>
    <t>Quality Score</t>
  </si>
  <si>
    <t>Target</t>
  </si>
  <si>
    <t>Wk1</t>
  </si>
  <si>
    <t>wk2</t>
  </si>
  <si>
    <t>wk3</t>
  </si>
  <si>
    <t>wk4</t>
  </si>
  <si>
    <t>wk1</t>
  </si>
  <si>
    <t>Joey Plann</t>
  </si>
  <si>
    <t>Rashada Begum</t>
  </si>
  <si>
    <t>Courtney Scattergood-Lowe</t>
  </si>
  <si>
    <t>Bethany Gerrish</t>
  </si>
  <si>
    <t>Saida Loonat</t>
  </si>
  <si>
    <t xml:space="preserve">Average team QC score </t>
  </si>
  <si>
    <t>Advisors achieving 95% or above</t>
  </si>
  <si>
    <t xml:space="preserve">Advisors achieving below 95% </t>
  </si>
  <si>
    <t>Weekly minimum QC achieved</t>
  </si>
  <si>
    <t>Rickie Joseph</t>
  </si>
  <si>
    <t xml:space="preserve">Failures </t>
  </si>
  <si>
    <t xml:space="preserve">Process </t>
  </si>
  <si>
    <t>TEST</t>
  </si>
  <si>
    <t>Anneisha Toussaint</t>
  </si>
  <si>
    <t>customer on hold for 10mins before trans to Anneisha</t>
  </si>
  <si>
    <t>no emails sent could not see complaint in followup</t>
  </si>
  <si>
    <t>Anniesha Toussaint</t>
  </si>
  <si>
    <t>na</t>
  </si>
  <si>
    <t>good call</t>
  </si>
  <si>
    <t>Courtney Scattergood</t>
  </si>
  <si>
    <t xml:space="preserve">complaint has been passed around </t>
  </si>
  <si>
    <t>ABSENT</t>
  </si>
  <si>
    <t>SAIDA Loonat</t>
  </si>
  <si>
    <t>Betheney Gerrish</t>
  </si>
  <si>
    <t>pended</t>
  </si>
  <si>
    <t>Rashada  Begum</t>
  </si>
  <si>
    <t>Bethan Gerrish</t>
  </si>
  <si>
    <t>no calls recorded on NICE</t>
  </si>
  <si>
    <t>natalie.jenns</t>
  </si>
  <si>
    <t>no calls on NICE</t>
  </si>
  <si>
    <t>N/A</t>
  </si>
  <si>
    <t>line 16_ unable to due to current backlog of complaints</t>
  </si>
  <si>
    <t>no first resolution due to current backlog in complaints</t>
  </si>
  <si>
    <t>Did the agent attach the correct and required information?</t>
  </si>
  <si>
    <t>Did the agent use spell check and avoid any spelling errors?</t>
  </si>
  <si>
    <t>Did the agent avoid grammatical mistakes?</t>
  </si>
  <si>
    <t>Agent included all notes from accountplus in the case file?</t>
  </si>
  <si>
    <t>faisal ali</t>
  </si>
  <si>
    <t>30.04.15</t>
  </si>
  <si>
    <t>Mr Peter Bennett account number 80460</t>
  </si>
  <si>
    <t>gemma johnson2</t>
  </si>
  <si>
    <t>28.04.15</t>
  </si>
  <si>
    <t>collins acc no 3089, call to ombudsman</t>
  </si>
  <si>
    <t>pending</t>
  </si>
  <si>
    <t>Dante Cortsella/ The Jubilee</t>
  </si>
  <si>
    <t>Mr Brian Shearer</t>
  </si>
  <si>
    <t>Gerard Shannon</t>
  </si>
  <si>
    <t>edwin malone</t>
  </si>
  <si>
    <t>Account/Complaint No.</t>
  </si>
  <si>
    <t>Zingi Mbusi</t>
  </si>
  <si>
    <t>07.05.15</t>
  </si>
  <si>
    <t>checked case file and emails for zingi - Jetberg LTD</t>
  </si>
  <si>
    <t>Gemma johnson2</t>
  </si>
  <si>
    <t>Open</t>
  </si>
  <si>
    <t>Ongoing complaint, DPA failed on call, and punctation errors on email sent</t>
  </si>
  <si>
    <t xml:space="preserve">Passed DPA but did not asks furhter security questions. </t>
  </si>
  <si>
    <t>Rashada - T Bleakley, incorrect form used, incorrect GWG amount on form as well</t>
  </si>
  <si>
    <t>Joey Plan</t>
  </si>
  <si>
    <t>No comments</t>
  </si>
  <si>
    <t>Pended</t>
  </si>
  <si>
    <t>Nice call</t>
  </si>
  <si>
    <t>No Dpa</t>
  </si>
  <si>
    <t>Bethaney Gerrish</t>
  </si>
  <si>
    <t>Feedback to agent</t>
  </si>
  <si>
    <t>no comment</t>
  </si>
  <si>
    <t>Anniesha is not in NICE</t>
  </si>
  <si>
    <t>Courtney did not acknowledge what customer was saying</t>
  </si>
  <si>
    <t>Grant Calton</t>
  </si>
  <si>
    <t>Grant is not in NICE</t>
  </si>
  <si>
    <t>No DPA masum was calling him back</t>
  </si>
  <si>
    <t>Laura Levermore</t>
  </si>
  <si>
    <t>Aimee Lewis</t>
  </si>
  <si>
    <t>Frontline Team - no calls made, email responses only.</t>
  </si>
  <si>
    <t>Shashi Ramsey</t>
  </si>
  <si>
    <t>Frontline Team - no calls made, email responses only. Good Example of email</t>
  </si>
  <si>
    <t xml:space="preserve">Frontline Team - no calls made, email responses only. </t>
  </si>
  <si>
    <t>Frontline Team - no calls made, email responses only. Good Example</t>
  </si>
  <si>
    <t>Frontline Team - Advised agent to use friendly format at the end of each email.</t>
  </si>
  <si>
    <t>Frontline Team - call was transferred to Laura. Should have let customer speak at start of call, otherwise handled the customer well.</t>
  </si>
  <si>
    <t>Ongoing</t>
  </si>
  <si>
    <t>Shreya was unaware that she had to log a new complaint when an Ombudsman case is received.</t>
  </si>
  <si>
    <t>ongoing</t>
  </si>
  <si>
    <t>DPA not done as call was transferred from front office to Shreya</t>
  </si>
  <si>
    <t>open</t>
  </si>
  <si>
    <t>1 spelling error and grammar slightly off.</t>
  </si>
  <si>
    <t>Faisal Ali</t>
  </si>
  <si>
    <t>?</t>
  </si>
  <si>
    <t>complaint is not logged on acc+ - this is due to the fact they was not made aware how to log ombudsman complaints</t>
  </si>
  <si>
    <t>ali has gone by the old DPA questions</t>
  </si>
  <si>
    <t>spelling is correct however used in wrong grammar</t>
  </si>
  <si>
    <t>cannot open follow up - acc plus error. Cannot locate calls for Zingi</t>
  </si>
  <si>
    <t>awaiting case file sign off.</t>
  </si>
  <si>
    <t>.</t>
  </si>
  <si>
    <t>waiting case file sign off by SMT</t>
  </si>
  <si>
    <t>Waiting account fix</t>
  </si>
  <si>
    <t>Yes</t>
  </si>
  <si>
    <t xml:space="preserve">Account Fix </t>
  </si>
  <si>
    <t>Account Number:</t>
  </si>
  <si>
    <t>Account Fix Basic Information</t>
  </si>
  <si>
    <t>Did agent include customer number</t>
  </si>
  <si>
    <t>Did agent include MPRN/MPAN</t>
  </si>
  <si>
    <t>Did agent make the correct request type</t>
  </si>
  <si>
    <t>Did agent add their name on the request form</t>
  </si>
  <si>
    <t>Did agent complete the description box with the relevant information needed for request to be completed</t>
  </si>
  <si>
    <t>Did agent save the request form in the relevant format (DD.MM.YY – Request Type – SLA – Customer Number – Your Name)</t>
  </si>
  <si>
    <t>Producing or Amending a bill/Manual bill</t>
  </si>
  <si>
    <t>Billing inbox - Query</t>
  </si>
  <si>
    <t>Did agent delete/cancel any existing bill which is for the same time period</t>
  </si>
  <si>
    <t>Did agent have the correct meter reads and dates</t>
  </si>
  <si>
    <t>Did agent check if all meter details on account plus are correct</t>
  </si>
  <si>
    <t>Did agent identify if the supplier is IGT</t>
  </si>
  <si>
    <t>For duel fuel requests, did agent include both contract numbers on request</t>
  </si>
  <si>
    <t>COT Account Fix Request</t>
  </si>
  <si>
    <t>Did agent complete COT spreadsheet before making request</t>
  </si>
  <si>
    <t>Did agent give brief outline as to why request is urgent (if ombudsman or complaint has not been selected)</t>
  </si>
  <si>
    <t>Did agent include Move out tenant Name</t>
  </si>
  <si>
    <t>Did agent include Customer Number</t>
  </si>
  <si>
    <t>Did agent include Date of Move Out</t>
  </si>
  <si>
    <t>Did agent include Move out read(s) for all fuels</t>
  </si>
  <si>
    <t>Did agent include Forward Address (if applicable)</t>
  </si>
  <si>
    <t>Did agent add any new contact details if they differ from those currently listed on the account</t>
  </si>
  <si>
    <t>Did agent include Move in tenant Name</t>
  </si>
  <si>
    <t>Did agent include Move in Date</t>
  </si>
  <si>
    <t>Did agent include Move in Reads for all fuels</t>
  </si>
  <si>
    <t>Did agent include Contact details for new tenant (email and phone)</t>
  </si>
  <si>
    <t>Did agent include Landlord details if applicable</t>
  </si>
  <si>
    <t>If multiple COTs are involved did agent provide the details in date order oldest to newest to make the request as clear as possible</t>
  </si>
  <si>
    <t>If the COT is a business, did agent ensure that proof of the COT has been received and logged on the account</t>
  </si>
  <si>
    <t>Updating Systems</t>
  </si>
  <si>
    <t>Did agent include the relevant Contract Number(s)</t>
  </si>
  <si>
    <t>Did agent include which Tariff is required</t>
  </si>
  <si>
    <t>Did agent give reason for the change</t>
  </si>
  <si>
    <t>Did agent include the Requested Unit Price(s)</t>
  </si>
  <si>
    <t>Did agent include the Requested S/Charge</t>
  </si>
  <si>
    <t>Did agent include the date that the tariff should be applied from</t>
  </si>
  <si>
    <t>Quality type</t>
  </si>
  <si>
    <t>Complaint</t>
  </si>
  <si>
    <t>complaint</t>
  </si>
  <si>
    <t>Account fix</t>
  </si>
  <si>
    <t>Pending case file - yet to be signed by senior management</t>
  </si>
  <si>
    <t>customer not available by phone, email sent with update</t>
  </si>
  <si>
    <t>mohammed masum</t>
  </si>
  <si>
    <t>Coaching on Account + notes</t>
  </si>
  <si>
    <t>cr277</t>
  </si>
  <si>
    <t>Used old pro forma</t>
  </si>
  <si>
    <t>coached on acct + notes</t>
  </si>
  <si>
    <t>26/5/158</t>
  </si>
  <si>
    <t>Bill + refund</t>
  </si>
  <si>
    <t>refund + final bill</t>
  </si>
  <si>
    <t>Did agent identify if customer is a "vulnerable customer"</t>
  </si>
  <si>
    <t>Did agent follow the PSR process correctly</t>
  </si>
  <si>
    <t>Test</t>
  </si>
  <si>
    <t>syed.ahmed</t>
  </si>
  <si>
    <t>Na</t>
  </si>
  <si>
    <t>No DPA</t>
  </si>
  <si>
    <t>pendede</t>
  </si>
  <si>
    <t>Feedback on staying on subject</t>
  </si>
  <si>
    <t>Absent</t>
  </si>
  <si>
    <t>two emails same account</t>
  </si>
  <si>
    <t>Same account 1st email</t>
  </si>
  <si>
    <t>Deborah.eubanks</t>
  </si>
  <si>
    <t>Final Bill Refund Case File</t>
  </si>
  <si>
    <t>Stephanie swain</t>
  </si>
  <si>
    <t>refund processed and complaint closed</t>
  </si>
  <si>
    <t>Joey plan</t>
  </si>
  <si>
    <t>Refund as a result of an ET</t>
  </si>
  <si>
    <t>Mid term dredit - DD adjusted</t>
  </si>
  <si>
    <t>GWG - exit Fees to be waived</t>
  </si>
  <si>
    <t>GWG £20 poor customer service</t>
  </si>
  <si>
    <t>Laura levermore</t>
  </si>
  <si>
    <t>Out Of Contract Rates - £3605</t>
  </si>
  <si>
    <t>Final Bill Refund</t>
  </si>
  <si>
    <t>1 Phonecall 1 case file</t>
  </si>
  <si>
    <t>casefile quality</t>
  </si>
  <si>
    <t>Email quality</t>
  </si>
  <si>
    <t>casefile</t>
  </si>
  <si>
    <t>email quality</t>
  </si>
  <si>
    <t>Bethany gerrish</t>
  </si>
  <si>
    <t xml:space="preserve"> 1-Case file</t>
  </si>
  <si>
    <t>1-Phone call</t>
  </si>
  <si>
    <t>absent</t>
  </si>
  <si>
    <t>2-casefile</t>
  </si>
  <si>
    <t>1-phone call</t>
  </si>
  <si>
    <t>coaching on DPA</t>
  </si>
  <si>
    <t>Team Manager: Natalie</t>
  </si>
  <si>
    <t>Email is attached to quality sheet for feedback</t>
  </si>
  <si>
    <t>Email attached for feedback</t>
  </si>
  <si>
    <t>too much about billing defects</t>
  </si>
  <si>
    <t>Nice Letter</t>
  </si>
  <si>
    <t>Slight amendment made to casefile by Nat</t>
  </si>
  <si>
    <t xml:space="preserve">I contact from grant </t>
  </si>
  <si>
    <t>I email sent not loaded on acct +</t>
  </si>
  <si>
    <t>spelling mistakes on acct + notes</t>
  </si>
  <si>
    <t>feedback given</t>
  </si>
  <si>
    <t xml:space="preserve">Part dpa done </t>
  </si>
  <si>
    <t>27/69/15</t>
  </si>
  <si>
    <t>Closed</t>
  </si>
  <si>
    <t>case file only</t>
  </si>
  <si>
    <t>slight amendment to notes on acct plus</t>
  </si>
  <si>
    <t>sdaDADAWd</t>
  </si>
  <si>
    <t>`</t>
  </si>
  <si>
    <t>feedback on putting notes on casefile</t>
  </si>
  <si>
    <t>waiting on gwg to close</t>
  </si>
  <si>
    <t>feedback on too much internal information</t>
  </si>
  <si>
    <t>feedback on sniffing during call</t>
  </si>
  <si>
    <t>emails from customer not attached to account plus</t>
  </si>
  <si>
    <t>no notes from acct + on casefile</t>
  </si>
  <si>
    <t>no feedback</t>
  </si>
  <si>
    <t>feedback very good notes in account +</t>
  </si>
  <si>
    <t>email attached to quality sheet. Fedback to Bethany</t>
  </si>
  <si>
    <t xml:space="preserve">Asked 3 questions on DPA </t>
  </si>
  <si>
    <t>small errors on email wrong new email sig not applied</t>
  </si>
  <si>
    <t>no acct # on email subject field said complaint</t>
  </si>
  <si>
    <t>status not changed in account +</t>
  </si>
  <si>
    <t>no follow up in acct +</t>
  </si>
  <si>
    <t>no contact from Grant. Email from him attached to quality sheet</t>
  </si>
  <si>
    <t>Customer came through to Grant was not trans. Grant was very helpful</t>
  </si>
  <si>
    <t>status not changed</t>
  </si>
  <si>
    <t xml:space="preserve">no contact has been made with customer </t>
  </si>
  <si>
    <t>2nd email had to be sent to customer, as Laura had forgotten to inform the customer about their refund</t>
  </si>
  <si>
    <t>incorrect bank name on refund form. Notes in account+ didn’t make sense</t>
  </si>
  <si>
    <t>no notes in account+, no contact with customer after being advised by S/A Deb</t>
  </si>
  <si>
    <t xml:space="preserve">no notes on account </t>
  </si>
  <si>
    <t>Sentences dosen't always make sense.  Email not copied into account no notes in accoutn+</t>
  </si>
  <si>
    <t>wrong bank name on refund form. Status still showing as new should be pended</t>
  </si>
  <si>
    <t>Notes said Grant emailed customer but I could not find email</t>
  </si>
  <si>
    <t>Andre Mitchell</t>
  </si>
  <si>
    <t>24/7/158</t>
  </si>
  <si>
    <t>good call coached on manual staements</t>
  </si>
  <si>
    <t>Daida Loonat</t>
  </si>
  <si>
    <t xml:space="preserve">good call </t>
  </si>
  <si>
    <t>could not see notes In acct+ so no date raised. Good call</t>
  </si>
  <si>
    <t>very good call but no dpa</t>
  </si>
  <si>
    <t>very nice call Very reassuring</t>
  </si>
  <si>
    <t>feedbck given by Nat</t>
  </si>
  <si>
    <t>D1 closure Grant able to pacifi customer</t>
  </si>
  <si>
    <t>No feedback</t>
  </si>
  <si>
    <t>feedback on speaking over the customer</t>
  </si>
  <si>
    <t>very angry customer Laura did well</t>
  </si>
  <si>
    <t>account + notes down</t>
  </si>
  <si>
    <t>feedback given agent will listen to call</t>
  </si>
  <si>
    <t>did 1st line and post code dob only</t>
  </si>
  <si>
    <t>Andrei Mitchell</t>
  </si>
  <si>
    <t>feedback on empathy</t>
  </si>
  <si>
    <t>DPA-did 1st line and pc but only 1 mandatory question</t>
  </si>
  <si>
    <t>No notes showing gwg proposal</t>
  </si>
  <si>
    <t>kept pressing mute long silences while Grant was searching. Nice close of call</t>
  </si>
  <si>
    <t>slight change in grammer</t>
  </si>
  <si>
    <t>very nice call</t>
  </si>
  <si>
    <t>eedback on empathy dpa and notes</t>
  </si>
  <si>
    <t>NO DPA</t>
  </si>
  <si>
    <t>saida Loonat</t>
  </si>
  <si>
    <t>DPA done about 1 min into call</t>
  </si>
  <si>
    <t>Good call gave correct info</t>
  </si>
  <si>
    <t>Billing complaint resolved 24 hours</t>
  </si>
  <si>
    <t>good call resolved first call</t>
  </si>
  <si>
    <t>Account plus not updated</t>
  </si>
  <si>
    <t>very good call</t>
  </si>
  <si>
    <t>no notes on account plus</t>
  </si>
  <si>
    <t>Jayash Patel</t>
  </si>
  <si>
    <t>did not change status on account</t>
  </si>
  <si>
    <t>Jaydish Patel</t>
  </si>
  <si>
    <t>Jagdish Patel</t>
  </si>
  <si>
    <t xml:space="preserve">casefile </t>
  </si>
  <si>
    <t>Andre Mittchell</t>
  </si>
  <si>
    <t>Dealt with complaint really well</t>
  </si>
  <si>
    <t>status not changed in account plus</t>
  </si>
  <si>
    <t>letter of apology</t>
  </si>
  <si>
    <t xml:space="preserve">Jayash Patel </t>
  </si>
  <si>
    <t>Fedback on punctuation</t>
  </si>
  <si>
    <t>no notes didn't call customer back</t>
  </si>
  <si>
    <t>Grant said he had released the bill but had not no call back as promised</t>
  </si>
  <si>
    <t>Courtney scattergood</t>
  </si>
  <si>
    <t>stephanie swain</t>
  </si>
  <si>
    <t>Cyclic refund - closed before money refunded back to customers account</t>
  </si>
  <si>
    <t>andre mitchell</t>
  </si>
  <si>
    <t>final bill refund - no follow-up dates left in account plus</t>
  </si>
  <si>
    <t>Registration Withdrawn - refund raised for payments made against account in error</t>
  </si>
  <si>
    <t>final bill refund</t>
  </si>
  <si>
    <t>oocr rates of £113.04. Two spelling mistake on refund notes</t>
  </si>
  <si>
    <t>courtney scattergood</t>
  </si>
  <si>
    <t>final bill refund - now follow up date in acc plus notes</t>
  </si>
  <si>
    <t>refund for final bill - no follow up date in notes</t>
  </si>
  <si>
    <t>GWG for Bank Charges applier in our error GWG Propsed for £50</t>
  </si>
  <si>
    <t>very good email</t>
  </si>
  <si>
    <t>laura Levermore</t>
  </si>
  <si>
    <t>good notes from acct plus on casefile</t>
  </si>
  <si>
    <t>no notes from call back to customer</t>
  </si>
  <si>
    <t>feedback on email grammer</t>
  </si>
  <si>
    <t>does not confirm to close complaint</t>
  </si>
  <si>
    <t>218/15</t>
  </si>
  <si>
    <t>Good call no note on acct</t>
  </si>
  <si>
    <t>no acct # because of missing post code. Coached Andre on call speaking very fast</t>
  </si>
  <si>
    <t>courtney scattergodd</t>
  </si>
  <si>
    <t>not closed in acct plus</t>
  </si>
  <si>
    <t>mumbling and promised call back but didn't do it</t>
  </si>
  <si>
    <t>good email</t>
  </si>
  <si>
    <t>Told customer to raise another complaint if any problems</t>
  </si>
  <si>
    <t>seemed to be uniterested in call</t>
  </si>
  <si>
    <t>Good call did not change complaint status</t>
  </si>
  <si>
    <t>good DPA</t>
  </si>
  <si>
    <t>Beth Gerrish</t>
  </si>
  <si>
    <t>did not close the compaint on acc +</t>
  </si>
  <si>
    <t>gemma.johnson2</t>
  </si>
  <si>
    <t xml:space="preserve">Spelling error for word 'convenient' used 'your' instead of 'you're', had a capital letter after a comma.
</t>
  </si>
  <si>
    <t>Punctuation in notes on acc + is poor. No capital letters used for Mr Pearce. Email ok</t>
  </si>
  <si>
    <t>Jay Patel</t>
  </si>
  <si>
    <t>Fedback on spelling and grammar</t>
  </si>
  <si>
    <t>fedback on email content</t>
  </si>
  <si>
    <t>Showed empathy for customers situation</t>
  </si>
  <si>
    <t>spelling mistakes on notes</t>
  </si>
  <si>
    <t>re opened complaint as customer has sent web request complains</t>
  </si>
  <si>
    <t>Final Bill credit</t>
  </si>
  <si>
    <t>Final Bill Refund £.30p no notes on account plus</t>
  </si>
  <si>
    <t>left supply 25/01/2015 COT final bill refund</t>
  </si>
  <si>
    <t>Exec Complaint. proposal to remove exit fee for poor service</t>
  </si>
  <si>
    <t>X</t>
  </si>
  <si>
    <t>Final Bill Refund £105.31</t>
  </si>
  <si>
    <t xml:space="preserve"> COT Refund £381</t>
  </si>
  <si>
    <t>Saida loonat</t>
  </si>
  <si>
    <t>GWG for Poor Service. Xcustomer had conversation with Dan Lloyd</t>
  </si>
  <si>
    <t>Cyclic Refund £967.48. DD Re-adjusted</t>
  </si>
  <si>
    <t>Final Bill COT Refund £23.13</t>
  </si>
  <si>
    <t>Good Structure on email with relolution to complaint, detailed all actions taken and gave 7 days to contact for complaint resolved.</t>
  </si>
  <si>
    <t>Closed on the basis that icorrect bill issued. Joey raised correct bill to loss date</t>
  </si>
  <si>
    <t>DEADLOCK LETTER. Very clear and understandable letter. Addressed all issues and acknoledged complaint and apologised. Excellent format and full of detail relatingto the complaint. Not updated onto account plus yet as awaiting Operations Manager sign off</t>
  </si>
  <si>
    <t>Telephone call. Bill raised and cyclic refund processed. DD re-adjusted</t>
  </si>
  <si>
    <t>Email confirming telephone call. Bill raised and cyclic refund processed. DD re-adjusted</t>
  </si>
  <si>
    <t>10/09/2015 16:38:38 (2.29 call length)</t>
  </si>
  <si>
    <t>As no DPA or Name asked for unable to check account plus or whwn complaint was raised</t>
  </si>
  <si>
    <t>10/09/2015 12:49 (3.26 call length)</t>
  </si>
  <si>
    <t>Cot'd SME account and we need to apply tariff to account. Billed on OCR. Customer has paid this bill. Bill now deleted and credit now held againt account. Saida didn’t relay back to customer. Should have assured customer that bill should not have been issued until a Tariff had been applied to account.</t>
  </si>
  <si>
    <t>Customer took over call from the off. Andre didn't stop customer to do DPA. Unable to verify action through account plus due to no DPA.</t>
  </si>
  <si>
    <t>Chris.edge</t>
  </si>
  <si>
    <t xml:space="preserve">took a call from a customer that had already had a compliant resolved. Laura dealt with the situation in a superb manner. Clarified all points and was firm but polite with her answers and reasons for not escalating the complaint any further. All actions had been taken and matter resolved. excellent. </t>
  </si>
  <si>
    <t>very good call, customer has had exit fees appied after been told there would not be applied. Discussion was about GWG wiaving outstanding amout of £51.63. very ggod call Case file put together.</t>
  </si>
  <si>
    <t>call escalated from Domestic salls. Courntney called sutomer back as a payment had never been taken. Courtney dealt with call in a clear polite manner. Email then sent to customer with a calculation with outstanding amount and set up direct debits. Courtney calling customer back actually prevented escalation. Customer wanted to bring over duel fuel as now gas only. courtney could have explained this a clittle clearer.</t>
  </si>
  <si>
    <t>Metering issue. Saida called customer to advised that meter may be faulty. Job booking raised with metering. Follow up set for 23/09/2015</t>
  </si>
  <si>
    <t>billed incorrectly as gas had been ET's but stetement created showing exit fee. Customer raised complaint as not clear to him what exit was for. ET didn’t explain that this is a result of the Et. Customer happy that jpoey contact ed and review date det up for 22/09/2015</t>
  </si>
  <si>
    <t>Final Bill Refund for £1.99</t>
  </si>
  <si>
    <t>GWG proposal for £20 due to time taken to action cot and final bill</t>
  </si>
  <si>
    <t>GWG proposal for length of time taken to action COT and final Bill</t>
  </si>
  <si>
    <t>Final Bill Refund for £437.94</t>
  </si>
  <si>
    <t>Final Bill Refund for £22.82</t>
  </si>
  <si>
    <t>Final Bill Refund for £81.64</t>
  </si>
  <si>
    <t>Final Position Letter very good</t>
  </si>
  <si>
    <t>complaint should not have been closed Nat has spoken to Courtney</t>
  </si>
  <si>
    <t>COT and final Bill</t>
  </si>
  <si>
    <t>Broker Miss Sell</t>
  </si>
  <si>
    <t>Account + notes many spelling mistakes</t>
  </si>
  <si>
    <t>OOCR £8557.62 Broker issues meant that ssd not met</t>
  </si>
  <si>
    <t>Waived Exit Fees</t>
  </si>
  <si>
    <t>Sam Wilkinson</t>
  </si>
  <si>
    <t>Back Billing £419.80</t>
  </si>
  <si>
    <t>Cyclic Refund £277.94. DD Re-assessed</t>
  </si>
  <si>
    <t xml:space="preserve">Formeley Grant Complaint. Customer quert to do with cooling off period. Called listen to we are at no fault. Good email with a few coaching points in there with terminology </t>
  </si>
  <si>
    <t>Final Poition Email, Excellent Structure. Detailed and addressed all points</t>
  </si>
  <si>
    <t>Compalint based on DD increased. Customer cancelled DD, Joey didn’t acknowledge DD Iossue. Should Have re-billed and set up new DD. Should have apologised and assured customer that issues are now resolved</t>
  </si>
  <si>
    <t>Tallesha Logan</t>
  </si>
  <si>
    <t xml:space="preserve">Clear notes, worked well customer kept updated </t>
  </si>
  <si>
    <t>stephanie.swain</t>
  </si>
  <si>
    <t xml:space="preserve">Talesha Logan </t>
  </si>
  <si>
    <t xml:space="preserve">well writen email very professional. </t>
  </si>
  <si>
    <t xml:space="preserve">Doreen Harris </t>
  </si>
  <si>
    <t xml:space="preserve">Well writen notes, customer contacted on time. </t>
  </si>
  <si>
    <t xml:space="preserve">Good confident call, however devolop your ability to recognise what the customer wants </t>
  </si>
  <si>
    <t>doreen Harris</t>
  </si>
  <si>
    <t xml:space="preserve">pending </t>
  </si>
  <si>
    <t xml:space="preserve">clear to the point email nicely written.  </t>
  </si>
  <si>
    <t xml:space="preserve">Kieran Cameron </t>
  </si>
  <si>
    <t xml:space="preserve">very good deadlock letter that explains everything clearly </t>
  </si>
  <si>
    <t>Kieran Cameron</t>
  </si>
  <si>
    <t xml:space="preserve">Nathan Notice </t>
  </si>
  <si>
    <t>Good confident call</t>
  </si>
  <si>
    <t>9/10/915</t>
  </si>
  <si>
    <t xml:space="preserve">some wording in the email could smoother. </t>
  </si>
  <si>
    <t xml:space="preserve">Kimberley Williams </t>
  </si>
  <si>
    <t xml:space="preserve">Clear notes on the account. </t>
  </si>
  <si>
    <t>Jasdip Kaur</t>
  </si>
  <si>
    <t xml:space="preserve">well writen email, easy to understand what is going on </t>
  </si>
  <si>
    <t xml:space="preserve">Notes on account clearly show what issues are on the account. </t>
  </si>
  <si>
    <t xml:space="preserve">Ruben Gomes </t>
  </si>
  <si>
    <t xml:space="preserve">Just be carful when making notes on the account could be clearer </t>
  </si>
  <si>
    <t>Ruben Gomes</t>
  </si>
  <si>
    <t xml:space="preserve">good clear email. </t>
  </si>
  <si>
    <t xml:space="preserve">Jay Patel </t>
  </si>
  <si>
    <t xml:space="preserve">when telling customers their DD payment amount so not use pence as EE rounds up all DDs </t>
  </si>
  <si>
    <t xml:space="preserve">advised Jay that SME customers Do not have monthly DD set up notes attached </t>
  </si>
  <si>
    <t xml:space="preserve">Andre Mitchell </t>
  </si>
  <si>
    <t xml:space="preserve">as complaint was closed I advised andre to call the customer and advise her of his mistake, put on best tariff and apologise </t>
  </si>
  <si>
    <t xml:space="preserve">Bethany Gerrish </t>
  </si>
  <si>
    <t xml:space="preserve">very good bethany was firm with customer on what she could do for him </t>
  </si>
  <si>
    <t xml:space="preserve">good followup she kept customer informed </t>
  </si>
  <si>
    <t xml:space="preserve">generated the bill and informed customer </t>
  </si>
  <si>
    <t xml:space="preserve">Sam Wilkinson </t>
  </si>
  <si>
    <t>establish that infinity is responsible for SSD late. Requested statement to show OOCR. Good Call discussed opening reading and customer happy not to dispute</t>
  </si>
  <si>
    <t>Julian Gould</t>
  </si>
  <si>
    <t>Final Bill refund</t>
  </si>
  <si>
    <t>Exit Fees to be waived from final bill as COS completed before COT date. New tennant conmpleted switch proior to moving in</t>
  </si>
  <si>
    <t>Call, Email and Case file. Et Requested, Good Case file for £25 refund and good polite phone call. Vcustomer very happy</t>
  </si>
  <si>
    <t>Customer wanted to speak to Anna Owens. Customer Refused to supply a meter resading in order to Joey to issue another statement. Customer tells joey that he is unporfessional and unhappy that Anna left a message at 9.30pm but the automated system stops taking calls at 9pm. customer appreciated joey apologising. casefile and call</t>
  </si>
  <si>
    <t>billing Complaint</t>
  </si>
  <si>
    <t>no contact from customer</t>
  </si>
  <si>
    <t>Small grammer mistakes</t>
  </si>
  <si>
    <t>customer wanted to change tariff without fees</t>
  </si>
  <si>
    <t>COT and Refund</t>
  </si>
  <si>
    <t>sam Wilkinson</t>
  </si>
  <si>
    <t>good notes in account plus</t>
  </si>
  <si>
    <t>good follow up</t>
  </si>
  <si>
    <t>Tariff Change and refund including waiving exit fee</t>
  </si>
  <si>
    <t>Releasing customer from SME auto renewal as broker provided wrong invioce address. Good call, progressed and CB arranmged</t>
  </si>
  <si>
    <t>complaint regarding missing payments and Hydron letter. Joey removed debt process and discussed GWG. Follow up arranged. Good call</t>
  </si>
  <si>
    <t>Good structured email confirming an earlier conversation refaring switch away to britich gas</t>
  </si>
  <si>
    <t>email had no structure and was more like a text message than an email</t>
  </si>
  <si>
    <t>2nd no contact email, excellent structure, address all issues and progressions. Since last contact</t>
  </si>
  <si>
    <t>goog casefile for poor customer service</t>
  </si>
  <si>
    <t>nice email</t>
  </si>
  <si>
    <t>Deadlock letter</t>
  </si>
  <si>
    <t>Ander Mitchell</t>
  </si>
  <si>
    <t>only contacted once by Andre</t>
  </si>
  <si>
    <t>very cold to the customer did not offer any help addressed customer by the wrong name</t>
  </si>
  <si>
    <t>314418/275351</t>
  </si>
  <si>
    <t>Good call</t>
  </si>
  <si>
    <t>only asked 3 dpa questions</t>
  </si>
  <si>
    <t>7/17/15</t>
  </si>
  <si>
    <t>OOC rates casefile</t>
  </si>
  <si>
    <t>GWG loss of supply</t>
  </si>
  <si>
    <t>final bill refund beths spelling is improving</t>
  </si>
  <si>
    <t>Stuart Caulkin</t>
  </si>
  <si>
    <t>Good Email</t>
  </si>
  <si>
    <t xml:space="preserve">good casefile </t>
  </si>
  <si>
    <t>Deadlock letter very good</t>
  </si>
  <si>
    <t>laura levermore</t>
  </si>
  <si>
    <t>Deadlock</t>
  </si>
  <si>
    <t>deadlock letter very good</t>
  </si>
  <si>
    <t>good email, and letter.</t>
  </si>
  <si>
    <t>good email, and letter. But remember to use the prefix Mr or Mrs</t>
  </si>
  <si>
    <t>2210/2015</t>
  </si>
  <si>
    <t xml:space="preserve">good email, </t>
  </si>
  <si>
    <t>zingi mbusi</t>
  </si>
  <si>
    <t>saida loonat</t>
  </si>
  <si>
    <t>16 05 41</t>
  </si>
  <si>
    <t>Rashada</t>
  </si>
  <si>
    <t>well done. Good quality</t>
  </si>
  <si>
    <t>04 24 75</t>
  </si>
  <si>
    <t>another good letter Rashada</t>
  </si>
  <si>
    <t>Harry Rice - Woodward</t>
  </si>
  <si>
    <t>well done Harry, good letter sent to customer</t>
  </si>
  <si>
    <t>well done</t>
  </si>
  <si>
    <t>Pooja Ganger</t>
  </si>
  <si>
    <t>you need to correct your signature on the bottomof your emails</t>
  </si>
  <si>
    <t>correct signature, make sure that your add the account number into the emial</t>
  </si>
  <si>
    <t xml:space="preserve">0004 12 68 </t>
  </si>
  <si>
    <t>Agnes Mutanga</t>
  </si>
  <si>
    <t xml:space="preserve">when sending an apology letter, you need to copy the remedy into the letter and then answer each point. </t>
  </si>
  <si>
    <t xml:space="preserve">63 08 </t>
  </si>
  <si>
    <t>Mike T</t>
  </si>
  <si>
    <t>69 58</t>
  </si>
  <si>
    <t xml:space="preserve">50 32     </t>
  </si>
  <si>
    <t>Quality checked by Stuart</t>
  </si>
  <si>
    <t>quality checked by Stuart</t>
  </si>
  <si>
    <t>Quality checked by Beth</t>
  </si>
  <si>
    <t>5175/174491</t>
  </si>
  <si>
    <t>Quality checked by bethany</t>
  </si>
  <si>
    <t>Quality checked by Bethany</t>
  </si>
  <si>
    <t>n/a</t>
  </si>
  <si>
    <t>stuart.caulkin</t>
  </si>
  <si>
    <t>Font in main body of email was in bold when it should in standard format.</t>
  </si>
  <si>
    <t>DPA Questions were incorrect - but advisor hadn't been informed of new process. Status was also not updated on account from 'new' to 'pended'</t>
  </si>
  <si>
    <t>Really well structured email and notes on account +.</t>
  </si>
  <si>
    <t>Date in number not letter format, spelling error in email 'tom' instead of 'to'.</t>
  </si>
  <si>
    <t>Really well structured email and detailed notes on account+.</t>
  </si>
  <si>
    <t>Some grammar and spelling errors in email - 'were' instead of 'where' and 'your' instead of 'you're'. Some punctuation errors also. - All fed back to agent.</t>
  </si>
  <si>
    <t>Amana Youngsam</t>
  </si>
  <si>
    <t>Incorrect date in body of text - fed back to agent. Clearly structured information, and account fully noted.</t>
  </si>
  <si>
    <t>Incorrect format and signature on email. Grammar errors within main text. Copy of email not added to account plus.</t>
  </si>
  <si>
    <t xml:space="preserve">Back Billing GWG - Correct calculation </t>
  </si>
  <si>
    <t>Refund For Final Bill</t>
  </si>
  <si>
    <t>Amana Youngsm</t>
  </si>
  <si>
    <t>Final Bill Refund. No Notes on account plus but fedback and updated</t>
  </si>
  <si>
    <t>Originally rejected as evidence for GWG and poor service not clear. However ammended and signed off. Refunding 2x£12 incurred die to incorrect information given from frontline advisor</t>
  </si>
  <si>
    <t>jay Patel</t>
  </si>
  <si>
    <t>Credit on a final bill</t>
  </si>
  <si>
    <t>courtney Scattergood</t>
  </si>
  <si>
    <t>GWG Exit Fees due to ET issue. Fed back to alaborate on notes</t>
  </si>
  <si>
    <t>Deadlock letter for SME Auto renew</t>
  </si>
  <si>
    <t>02/11/2015 - 07/11/2015</t>
  </si>
  <si>
    <t>09/11/2015 - 14/11/2015</t>
  </si>
  <si>
    <t>16/11/2015 - 21/11/2015</t>
  </si>
  <si>
    <t>23/11/2015 - 28/11/2015</t>
  </si>
  <si>
    <t>Team Performance November 2015</t>
  </si>
  <si>
    <t>Case file raised correctly. Account fully annotated. Email well structured.</t>
  </si>
  <si>
    <t>Samuel Wilkinson</t>
  </si>
  <si>
    <t>Case file really detailed</t>
  </si>
  <si>
    <t>case file raised correctly, account fully annotated.</t>
  </si>
  <si>
    <t>Case file correct, notes up to date on account, complaint status updated.</t>
  </si>
  <si>
    <t>Supporting information not filled in on case file as to reasons for GWG - PASSED BACK TO AGENT.</t>
  </si>
  <si>
    <t>Spelling errors on case file.</t>
  </si>
  <si>
    <t>Follow-ups not maintained - cust had to call requesting several call backs.</t>
  </si>
  <si>
    <t>Case file contained all relevant information, account notes up to date.</t>
  </si>
  <si>
    <t>Awaiting account fix - case file checked. Email checked - couple of spelling/grammar errors - fed back to agent.</t>
  </si>
  <si>
    <t>Spelling/grammar errors in email, text in blue and black, although really well structured. Account+ fully annotated.</t>
  </si>
  <si>
    <t xml:space="preserve">Missing full stop in email although structure correct and content well organised. </t>
  </si>
  <si>
    <t>All follow ups maintained, email well structured, customer kept well informed throughout process.</t>
  </si>
</sst>
</file>

<file path=xl/styles.xml><?xml version="1.0" encoding="utf-8"?>
<styleSheet xmlns="http://schemas.openxmlformats.org/spreadsheetml/2006/main" xmlns:mc="http://schemas.openxmlformats.org/markup-compatibility/2006" xmlns:x14ac="http://schemas.microsoft.com/office/spreadsheetml/2009/9/ac" mc:Ignorable="x14ac">
  <fonts count="61" x14ac:knownFonts="1">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name val="Arial"/>
      <family val="2"/>
    </font>
    <font>
      <b/>
      <sz val="11"/>
      <name val="Arial"/>
      <family val="2"/>
    </font>
    <font>
      <b/>
      <u/>
      <sz val="20"/>
      <name val="Arial"/>
      <family val="2"/>
    </font>
    <font>
      <b/>
      <sz val="18"/>
      <name val="Arial"/>
      <family val="2"/>
    </font>
    <font>
      <sz val="18"/>
      <name val="Arial"/>
      <family val="2"/>
    </font>
    <font>
      <sz val="11"/>
      <color theme="1"/>
      <name val="Arial"/>
      <family val="2"/>
    </font>
    <font>
      <sz val="11"/>
      <color theme="0"/>
      <name val="Arial"/>
      <family val="2"/>
    </font>
    <font>
      <b/>
      <sz val="11"/>
      <color theme="1"/>
      <name val="Arial"/>
      <family val="2"/>
    </font>
    <font>
      <b/>
      <sz val="11"/>
      <color theme="0"/>
      <name val="Arial"/>
      <family val="2"/>
    </font>
    <font>
      <b/>
      <sz val="9"/>
      <color indexed="81"/>
      <name val="Tahoma"/>
      <family val="2"/>
    </font>
    <font>
      <b/>
      <sz val="10"/>
      <color indexed="81"/>
      <name val="Arial"/>
      <family val="2"/>
    </font>
    <font>
      <sz val="10"/>
      <color indexed="81"/>
      <name val="Tahoma"/>
      <family val="2"/>
    </font>
    <font>
      <sz val="12"/>
      <color theme="1"/>
      <name val="Calibri"/>
      <family val="2"/>
      <scheme val="minor"/>
    </font>
    <font>
      <sz val="12"/>
      <color theme="0"/>
      <name val="Calibri"/>
      <family val="2"/>
      <scheme val="minor"/>
    </font>
    <font>
      <sz val="20"/>
      <color rgb="FF000000"/>
      <name val="Calibri"/>
      <family val="2"/>
    </font>
    <font>
      <b/>
      <sz val="12"/>
      <name val="Arial"/>
      <family val="2"/>
    </font>
    <font>
      <sz val="12"/>
      <name val="Arial"/>
      <family val="2"/>
    </font>
    <font>
      <sz val="9"/>
      <color theme="1"/>
      <name val="Calibri"/>
      <family val="2"/>
      <scheme val="minor"/>
    </font>
    <font>
      <sz val="18"/>
      <color theme="1"/>
      <name val="Arial"/>
      <family val="2"/>
    </font>
    <font>
      <sz val="11"/>
      <color rgb="FFFF0000"/>
      <name val="Calibri"/>
      <family val="2"/>
      <scheme val="minor"/>
    </font>
    <font>
      <sz val="12"/>
      <color theme="1"/>
      <name val="Arial"/>
      <family val="2"/>
    </font>
    <font>
      <b/>
      <sz val="12"/>
      <color theme="1"/>
      <name val="Arial"/>
      <family val="2"/>
    </font>
    <font>
      <sz val="16"/>
      <name val="Arial"/>
      <family val="2"/>
    </font>
    <font>
      <sz val="16"/>
      <color theme="1"/>
      <name val="Arial"/>
      <family val="2"/>
    </font>
    <font>
      <b/>
      <u/>
      <sz val="18"/>
      <color theme="1"/>
      <name val="Calibri"/>
      <family val="2"/>
      <scheme val="minor"/>
    </font>
    <font>
      <b/>
      <sz val="14"/>
      <name val="Arial"/>
      <family val="2"/>
    </font>
    <font>
      <b/>
      <sz val="14"/>
      <color rgb="FFFF0000"/>
      <name val="Arial"/>
      <family val="2"/>
    </font>
    <font>
      <b/>
      <sz val="11"/>
      <color theme="3"/>
      <name val="Arial"/>
      <family val="2"/>
    </font>
    <font>
      <sz val="12"/>
      <color rgb="FF000000"/>
      <name val="Arial"/>
      <family val="2"/>
    </font>
    <font>
      <sz val="18"/>
      <color rgb="FF000000"/>
      <name val="Calibri"/>
      <family val="2"/>
    </font>
    <font>
      <sz val="10"/>
      <color theme="1"/>
      <name val="Calibri"/>
      <family val="2"/>
      <scheme val="minor"/>
    </font>
    <font>
      <sz val="11"/>
      <color theme="1"/>
      <name val="PF DinDisplay Pro Light"/>
      <family val="3"/>
    </font>
    <font>
      <sz val="11"/>
      <name val="PF DinDisplay Pro Light"/>
      <family val="3"/>
    </font>
    <font>
      <sz val="11"/>
      <color theme="0"/>
      <name val="PF DinDisplay Pro Light"/>
      <family val="3"/>
    </font>
    <font>
      <b/>
      <u/>
      <sz val="16"/>
      <color theme="1"/>
      <name val="PF DinDisplay Pro Light"/>
      <family val="3"/>
    </font>
    <font>
      <b/>
      <u/>
      <sz val="16"/>
      <color theme="0"/>
      <name val="PF DinDisplay Pro Light"/>
      <family val="3"/>
    </font>
    <font>
      <sz val="14"/>
      <color theme="1"/>
      <name val="PF DinDisplay Pro Light"/>
      <family val="3"/>
    </font>
    <font>
      <sz val="14"/>
      <name val="PF DinDisplay Pro Light"/>
      <family val="3"/>
    </font>
    <font>
      <b/>
      <u/>
      <sz val="14"/>
      <color theme="1"/>
      <name val="PF DinDisplay Pro Light"/>
      <family val="3"/>
    </font>
    <font>
      <b/>
      <sz val="14"/>
      <color theme="0"/>
      <name val="PF DinDisplay Pro Light"/>
      <family val="3"/>
    </font>
    <font>
      <sz val="12"/>
      <name val="PF DinDisplay Pro Light"/>
      <family val="3"/>
    </font>
    <font>
      <sz val="12"/>
      <color theme="0"/>
      <name val="PF DinDisplay Pro Light"/>
      <family val="3"/>
    </font>
    <font>
      <b/>
      <sz val="12"/>
      <color theme="1"/>
      <name val="PF DinDisplay Pro Light"/>
      <family val="3"/>
    </font>
    <font>
      <b/>
      <sz val="12"/>
      <name val="PF DinDisplay Pro Light"/>
      <family val="3"/>
    </font>
    <font>
      <b/>
      <sz val="12"/>
      <color rgb="FFFF0000"/>
      <name val="PF DinDisplay Pro Light"/>
      <family val="3"/>
    </font>
    <font>
      <b/>
      <sz val="12"/>
      <color theme="0"/>
      <name val="PF DinDisplay Pro Light"/>
      <family val="3"/>
    </font>
    <font>
      <b/>
      <sz val="11"/>
      <color theme="0"/>
      <name val="PF DinDisplay Pro Light"/>
      <family val="3"/>
    </font>
    <font>
      <b/>
      <sz val="10"/>
      <color theme="1"/>
      <name val="PF DinDisplay Pro Light"/>
      <family val="3"/>
    </font>
    <font>
      <sz val="9"/>
      <name val="PF DinDisplay Pro Light"/>
      <family val="3"/>
    </font>
    <font>
      <b/>
      <sz val="10"/>
      <name val="PF DinDisplay Pro Light"/>
      <family val="3"/>
    </font>
    <font>
      <b/>
      <sz val="10"/>
      <color rgb="FFFF0000"/>
      <name val="PF DinDisplay Pro Light"/>
      <family val="3"/>
    </font>
    <font>
      <b/>
      <sz val="10"/>
      <color theme="0"/>
      <name val="PF DinDisplay Pro Light"/>
      <family val="3"/>
    </font>
    <font>
      <sz val="12"/>
      <color theme="1"/>
      <name val="PF DinDisplay Pro Light"/>
      <family val="3"/>
    </font>
    <font>
      <sz val="12"/>
      <color rgb="FFFF0000"/>
      <name val="PF DinDisplay Pro Light"/>
      <family val="3"/>
    </font>
    <font>
      <b/>
      <sz val="11"/>
      <color theme="1"/>
      <name val="PF DinDisplay Pro Light"/>
      <family val="3"/>
    </font>
    <font>
      <sz val="11"/>
      <color rgb="FFFF0000"/>
      <name val="PF DinDisplay Pro Light"/>
      <family val="3"/>
    </font>
  </fonts>
  <fills count="10">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FF0000"/>
        <bgColor indexed="64"/>
      </patternFill>
    </fill>
    <fill>
      <gradientFill type="path" left="0.5" right="0.5" top="0.5" bottom="0.5">
        <stop position="0">
          <color theme="0" tint="-0.34900967436750391"/>
        </stop>
        <stop position="1">
          <color theme="1" tint="0.34900967436750391"/>
        </stop>
      </gradientFill>
    </fill>
    <fill>
      <patternFill patternType="solid">
        <fgColor theme="0"/>
        <bgColor auto="1"/>
      </patternFill>
    </fill>
    <fill>
      <patternFill patternType="solid">
        <fgColor rgb="FFFF9933"/>
        <bgColor indexed="64"/>
      </patternFill>
    </fill>
    <fill>
      <patternFill patternType="solid">
        <fgColor theme="2"/>
        <bgColor indexed="64"/>
      </patternFill>
    </fill>
    <fill>
      <patternFill patternType="solid">
        <fgColor rgb="FF92D050"/>
        <bgColor indexed="64"/>
      </patternFill>
    </fill>
  </fills>
  <borders count="58">
    <border>
      <left/>
      <right/>
      <top/>
      <bottom/>
      <diagonal/>
    </border>
    <border>
      <left/>
      <right/>
      <top/>
      <bottom style="thick">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s>
  <cellStyleXfs count="3">
    <xf numFmtId="0" fontId="0" fillId="0" borderId="0"/>
    <xf numFmtId="9" fontId="1" fillId="0" borderId="0" applyFont="0" applyFill="0" applyBorder="0" applyAlignment="0" applyProtection="0"/>
    <xf numFmtId="0" fontId="2" fillId="0" borderId="1" applyNumberFormat="0" applyFill="0" applyAlignment="0" applyProtection="0"/>
  </cellStyleXfs>
  <cellXfs count="493">
    <xf numFmtId="0" fontId="0" fillId="0" borderId="0" xfId="0"/>
    <xf numFmtId="0" fontId="5" fillId="2" borderId="0" xfId="0" applyFont="1" applyFill="1" applyProtection="1">
      <protection locked="0"/>
    </xf>
    <xf numFmtId="0" fontId="0" fillId="2" borderId="0" xfId="0" applyFill="1" applyProtection="1">
      <protection locked="0"/>
    </xf>
    <xf numFmtId="0" fontId="5" fillId="2" borderId="5" xfId="0" applyFont="1" applyFill="1" applyBorder="1" applyProtection="1">
      <protection locked="0"/>
    </xf>
    <xf numFmtId="0" fontId="5" fillId="2" borderId="0" xfId="0" applyFont="1" applyFill="1" applyBorder="1" applyProtection="1">
      <protection locked="0"/>
    </xf>
    <xf numFmtId="0" fontId="5" fillId="2" borderId="6" xfId="0" applyFont="1" applyFill="1" applyBorder="1" applyProtection="1">
      <protection locked="0"/>
    </xf>
    <xf numFmtId="0" fontId="0" fillId="2" borderId="0" xfId="0" applyFill="1" applyBorder="1" applyProtection="1">
      <protection locked="0"/>
    </xf>
    <xf numFmtId="0" fontId="6" fillId="2" borderId="0" xfId="0" applyFont="1" applyFill="1" applyBorder="1" applyAlignment="1" applyProtection="1">
      <alignment horizontal="center"/>
      <protection locked="0"/>
    </xf>
    <xf numFmtId="0" fontId="9" fillId="2" borderId="8" xfId="0" applyFont="1" applyFill="1" applyBorder="1" applyAlignment="1" applyProtection="1">
      <alignment horizontal="left"/>
      <protection locked="0"/>
    </xf>
    <xf numFmtId="0" fontId="10" fillId="2" borderId="0" xfId="0" applyFont="1" applyFill="1" applyBorder="1" applyProtection="1">
      <protection locked="0"/>
    </xf>
    <xf numFmtId="0" fontId="10" fillId="2" borderId="6" xfId="0" applyFont="1" applyFill="1" applyBorder="1" applyProtection="1">
      <protection locked="0"/>
    </xf>
    <xf numFmtId="0" fontId="0" fillId="0" borderId="0" xfId="0" applyProtection="1">
      <protection locked="0"/>
    </xf>
    <xf numFmtId="14" fontId="9" fillId="2" borderId="8" xfId="0" applyNumberFormat="1" applyFont="1" applyFill="1" applyBorder="1" applyAlignment="1" applyProtection="1">
      <alignment horizontal="left"/>
      <protection locked="0"/>
    </xf>
    <xf numFmtId="0" fontId="11" fillId="2" borderId="0" xfId="0" applyFont="1" applyFill="1" applyBorder="1" applyProtection="1">
      <protection locked="0"/>
    </xf>
    <xf numFmtId="0" fontId="11" fillId="2" borderId="6" xfId="0" applyFont="1" applyFill="1" applyBorder="1" applyProtection="1">
      <protection locked="0"/>
    </xf>
    <xf numFmtId="0" fontId="8" fillId="2" borderId="0" xfId="0" applyFont="1" applyFill="1" applyBorder="1" applyAlignment="1" applyProtection="1">
      <protection locked="0"/>
    </xf>
    <xf numFmtId="0" fontId="9" fillId="2" borderId="0" xfId="0" applyFont="1" applyFill="1" applyBorder="1" applyAlignment="1" applyProtection="1">
      <protection locked="0"/>
    </xf>
    <xf numFmtId="0" fontId="6" fillId="0" borderId="9" xfId="0" applyFont="1" applyBorder="1" applyAlignment="1" applyProtection="1">
      <alignment horizontal="center"/>
      <protection locked="0"/>
    </xf>
    <xf numFmtId="0" fontId="4" fillId="2" borderId="0" xfId="0" applyFont="1" applyFill="1" applyBorder="1" applyProtection="1">
      <protection locked="0"/>
    </xf>
    <xf numFmtId="0" fontId="6" fillId="2" borderId="12" xfId="0" applyFont="1" applyFill="1" applyBorder="1" applyAlignment="1" applyProtection="1">
      <alignment horizontal="center"/>
      <protection locked="0"/>
    </xf>
    <xf numFmtId="0" fontId="5" fillId="0" borderId="9" xfId="0" applyFont="1" applyBorder="1" applyAlignment="1" applyProtection="1">
      <alignment horizontal="center"/>
      <protection locked="0"/>
    </xf>
    <xf numFmtId="0" fontId="5" fillId="0" borderId="10" xfId="0" applyFont="1" applyBorder="1" applyAlignment="1" applyProtection="1">
      <alignment horizontal="center"/>
      <protection locked="0"/>
    </xf>
    <xf numFmtId="0" fontId="5" fillId="0" borderId="11" xfId="0" applyFont="1" applyBorder="1" applyProtection="1">
      <protection locked="0"/>
    </xf>
    <xf numFmtId="0" fontId="5" fillId="0" borderId="7" xfId="0" applyFont="1" applyBorder="1" applyProtection="1">
      <protection locked="0"/>
    </xf>
    <xf numFmtId="0" fontId="5" fillId="0" borderId="9" xfId="0" applyFont="1" applyBorder="1" applyProtection="1">
      <protection locked="0"/>
    </xf>
    <xf numFmtId="14" fontId="10" fillId="0" borderId="13" xfId="0" applyNumberFormat="1" applyFont="1" applyFill="1" applyBorder="1" applyAlignment="1" applyProtection="1">
      <protection locked="0"/>
    </xf>
    <xf numFmtId="0" fontId="6" fillId="2" borderId="15" xfId="0" applyFont="1" applyFill="1" applyBorder="1" applyAlignment="1" applyProtection="1">
      <alignment horizontal="center"/>
      <protection locked="0"/>
    </xf>
    <xf numFmtId="14" fontId="10" fillId="0" borderId="16" xfId="0" applyNumberFormat="1" applyFont="1" applyFill="1" applyBorder="1" applyAlignment="1" applyProtection="1">
      <protection locked="0"/>
    </xf>
    <xf numFmtId="0" fontId="6" fillId="2" borderId="17" xfId="0" applyFont="1" applyFill="1" applyBorder="1" applyAlignment="1" applyProtection="1">
      <alignment horizontal="center"/>
      <protection locked="0"/>
    </xf>
    <xf numFmtId="0" fontId="5" fillId="2" borderId="0" xfId="0" applyFont="1" applyFill="1" applyBorder="1" applyAlignment="1" applyProtection="1">
      <alignment horizontal="center"/>
      <protection locked="0"/>
    </xf>
    <xf numFmtId="0" fontId="5" fillId="0" borderId="8" xfId="0" applyFont="1" applyBorder="1" applyAlignment="1" applyProtection="1">
      <alignment horizontal="center"/>
      <protection locked="0"/>
    </xf>
    <xf numFmtId="0" fontId="5" fillId="0" borderId="20" xfId="0" applyFont="1" applyBorder="1" applyAlignment="1" applyProtection="1">
      <alignment horizontal="center"/>
      <protection locked="0"/>
    </xf>
    <xf numFmtId="0" fontId="0" fillId="0" borderId="0" xfId="0" applyBorder="1" applyProtection="1">
      <protection locked="0"/>
    </xf>
    <xf numFmtId="0" fontId="5" fillId="0" borderId="13" xfId="0" applyFont="1" applyBorder="1" applyAlignment="1" applyProtection="1">
      <alignment horizontal="center"/>
      <protection locked="0"/>
    </xf>
    <xf numFmtId="0" fontId="5" fillId="2" borderId="0" xfId="0" applyFont="1" applyFill="1" applyBorder="1" applyAlignment="1" applyProtection="1">
      <alignment vertical="top"/>
      <protection locked="0"/>
    </xf>
    <xf numFmtId="0" fontId="6" fillId="2" borderId="18" xfId="0" applyFont="1" applyFill="1" applyBorder="1" applyAlignment="1" applyProtection="1">
      <alignment horizontal="center"/>
      <protection locked="0"/>
    </xf>
    <xf numFmtId="0" fontId="11" fillId="2" borderId="0" xfId="0" applyFont="1" applyFill="1" applyProtection="1">
      <protection locked="0"/>
    </xf>
    <xf numFmtId="0" fontId="11" fillId="2" borderId="5" xfId="0" applyFont="1" applyFill="1" applyBorder="1" applyProtection="1">
      <protection locked="0"/>
    </xf>
    <xf numFmtId="0" fontId="11" fillId="2" borderId="0" xfId="0" applyFont="1" applyFill="1" applyBorder="1" applyAlignment="1" applyProtection="1">
      <alignment horizontal="center"/>
      <protection locked="0"/>
    </xf>
    <xf numFmtId="0" fontId="4" fillId="2" borderId="0" xfId="0" applyFont="1" applyFill="1" applyProtection="1">
      <protection locked="0"/>
    </xf>
    <xf numFmtId="0" fontId="6" fillId="0" borderId="0" xfId="0" applyFont="1" applyBorder="1" applyAlignment="1" applyProtection="1">
      <alignment horizontal="center"/>
      <protection locked="0"/>
    </xf>
    <xf numFmtId="0" fontId="6" fillId="0" borderId="7" xfId="0" applyFont="1" applyBorder="1" applyAlignment="1" applyProtection="1">
      <alignment horizontal="center"/>
      <protection locked="0"/>
    </xf>
    <xf numFmtId="0" fontId="6" fillId="0" borderId="11" xfId="0" applyFont="1" applyBorder="1" applyAlignment="1" applyProtection="1">
      <alignment horizontal="center"/>
      <protection locked="0"/>
    </xf>
    <xf numFmtId="9" fontId="13" fillId="2" borderId="7" xfId="1" applyFont="1" applyFill="1" applyBorder="1" applyAlignment="1" applyProtection="1">
      <alignment horizontal="center"/>
      <protection locked="0"/>
    </xf>
    <xf numFmtId="9" fontId="6" fillId="0" borderId="10" xfId="1" applyFont="1" applyBorder="1" applyAlignment="1" applyProtection="1">
      <alignment horizontal="center"/>
      <protection locked="0"/>
    </xf>
    <xf numFmtId="9" fontId="6" fillId="2" borderId="8" xfId="0" applyNumberFormat="1" applyFont="1" applyFill="1" applyBorder="1" applyAlignment="1" applyProtection="1">
      <alignment horizontal="center"/>
      <protection locked="0"/>
    </xf>
    <xf numFmtId="9" fontId="6" fillId="2" borderId="0" xfId="0" applyNumberFormat="1" applyFont="1" applyFill="1" applyBorder="1" applyAlignment="1" applyProtection="1">
      <alignment horizontal="center"/>
      <protection locked="0"/>
    </xf>
    <xf numFmtId="0" fontId="5" fillId="2" borderId="21" xfId="0" applyFont="1" applyFill="1" applyBorder="1" applyProtection="1">
      <protection locked="0"/>
    </xf>
    <xf numFmtId="0" fontId="6" fillId="2" borderId="22" xfId="0" applyFont="1" applyFill="1" applyBorder="1" applyAlignment="1" applyProtection="1">
      <alignment horizontal="center"/>
      <protection locked="0"/>
    </xf>
    <xf numFmtId="0" fontId="5" fillId="2" borderId="22" xfId="0" applyFont="1" applyFill="1" applyBorder="1" applyProtection="1">
      <protection locked="0"/>
    </xf>
    <xf numFmtId="0" fontId="5" fillId="2" borderId="23" xfId="0" applyFont="1" applyFill="1" applyBorder="1" applyProtection="1">
      <protection locked="0"/>
    </xf>
    <xf numFmtId="0" fontId="3" fillId="3" borderId="0" xfId="0" applyFont="1" applyFill="1" applyAlignment="1">
      <alignment vertical="center"/>
    </xf>
    <xf numFmtId="0" fontId="3" fillId="3" borderId="0" xfId="0" applyFont="1" applyFill="1" applyAlignment="1">
      <alignment horizontal="center" vertical="center" wrapText="1"/>
    </xf>
    <xf numFmtId="0" fontId="3" fillId="3" borderId="0" xfId="0" applyFont="1" applyFill="1" applyAlignment="1">
      <alignment horizontal="center" wrapText="1"/>
    </xf>
    <xf numFmtId="9" fontId="3" fillId="3" borderId="0" xfId="0" applyNumberFormat="1" applyFont="1" applyFill="1" applyAlignment="1">
      <alignment horizontal="center" vertical="center" wrapText="1"/>
    </xf>
    <xf numFmtId="0" fontId="3" fillId="0" borderId="0" xfId="0" applyFont="1"/>
    <xf numFmtId="0" fontId="9" fillId="2" borderId="8" xfId="0" applyFont="1" applyFill="1" applyBorder="1" applyAlignment="1" applyProtection="1">
      <alignment horizontal="left"/>
    </xf>
    <xf numFmtId="14" fontId="9" fillId="2" borderId="8" xfId="0" applyNumberFormat="1" applyFont="1" applyFill="1" applyBorder="1" applyAlignment="1" applyProtection="1">
      <alignment horizontal="left"/>
    </xf>
    <xf numFmtId="14" fontId="10" fillId="0" borderId="13" xfId="0" applyNumberFormat="1" applyFont="1" applyFill="1" applyBorder="1" applyAlignment="1" applyProtection="1"/>
    <xf numFmtId="14" fontId="10" fillId="0" borderId="16" xfId="0" applyNumberFormat="1" applyFont="1" applyFill="1" applyBorder="1" applyAlignment="1" applyProtection="1"/>
    <xf numFmtId="0" fontId="0" fillId="0" borderId="0" xfId="0" applyProtection="1"/>
    <xf numFmtId="9" fontId="0" fillId="0" borderId="0" xfId="0" applyNumberFormat="1" applyProtection="1"/>
    <xf numFmtId="14" fontId="0" fillId="0" borderId="0" xfId="0" applyNumberFormat="1" applyProtection="1"/>
    <xf numFmtId="0" fontId="9" fillId="2" borderId="13" xfId="0" applyFont="1" applyFill="1" applyBorder="1" applyAlignment="1" applyProtection="1">
      <alignment horizontal="left"/>
    </xf>
    <xf numFmtId="14" fontId="9" fillId="2" borderId="13" xfId="0" applyNumberFormat="1" applyFont="1" applyFill="1" applyBorder="1" applyAlignment="1" applyProtection="1">
      <alignment horizontal="left"/>
    </xf>
    <xf numFmtId="0" fontId="9" fillId="2" borderId="24" xfId="0" applyFont="1" applyFill="1" applyBorder="1" applyAlignment="1" applyProtection="1">
      <alignment horizontal="left"/>
      <protection locked="0"/>
    </xf>
    <xf numFmtId="14" fontId="9" fillId="2" borderId="25" xfId="0" applyNumberFormat="1" applyFont="1" applyFill="1" applyBorder="1" applyAlignment="1" applyProtection="1">
      <alignment horizontal="left"/>
      <protection locked="0"/>
    </xf>
    <xf numFmtId="0" fontId="9" fillId="2" borderId="25" xfId="0" applyFont="1" applyFill="1" applyBorder="1" applyAlignment="1" applyProtection="1">
      <alignment horizontal="left"/>
      <protection locked="0"/>
    </xf>
    <xf numFmtId="0" fontId="0" fillId="0" borderId="3" xfId="0" applyBorder="1"/>
    <xf numFmtId="9" fontId="0" fillId="0" borderId="3" xfId="0" applyNumberFormat="1" applyBorder="1"/>
    <xf numFmtId="14" fontId="0" fillId="0" borderId="3" xfId="0" applyNumberFormat="1" applyBorder="1"/>
    <xf numFmtId="0" fontId="0" fillId="0" borderId="4" xfId="0" applyBorder="1"/>
    <xf numFmtId="0" fontId="9" fillId="2" borderId="11" xfId="0" applyFont="1" applyFill="1" applyBorder="1" applyAlignment="1" applyProtection="1">
      <alignment horizontal="left"/>
      <protection locked="0"/>
    </xf>
    <xf numFmtId="0" fontId="0" fillId="0" borderId="0" xfId="0" applyBorder="1"/>
    <xf numFmtId="9" fontId="0" fillId="0" borderId="0" xfId="0" applyNumberFormat="1" applyBorder="1"/>
    <xf numFmtId="14" fontId="0" fillId="0" borderId="0" xfId="0" applyNumberFormat="1" applyBorder="1"/>
    <xf numFmtId="0" fontId="0" fillId="0" borderId="6" xfId="0" applyBorder="1"/>
    <xf numFmtId="0" fontId="9" fillId="2" borderId="28" xfId="0" applyFont="1" applyFill="1" applyBorder="1" applyAlignment="1" applyProtection="1">
      <alignment horizontal="left"/>
      <protection locked="0"/>
    </xf>
    <xf numFmtId="14" fontId="9" fillId="2" borderId="29" xfId="0" applyNumberFormat="1" applyFont="1" applyFill="1" applyBorder="1" applyAlignment="1" applyProtection="1">
      <alignment horizontal="left"/>
      <protection locked="0"/>
    </xf>
    <xf numFmtId="0" fontId="9" fillId="2" borderId="29" xfId="0" applyFont="1" applyFill="1" applyBorder="1" applyAlignment="1" applyProtection="1">
      <alignment horizontal="left"/>
      <protection locked="0"/>
    </xf>
    <xf numFmtId="0" fontId="0" fillId="0" borderId="22" xfId="0" applyBorder="1"/>
    <xf numFmtId="9" fontId="0" fillId="0" borderId="22" xfId="0" applyNumberFormat="1" applyBorder="1"/>
    <xf numFmtId="14" fontId="0" fillId="0" borderId="22" xfId="0" applyNumberFormat="1" applyBorder="1"/>
    <xf numFmtId="0" fontId="0" fillId="0" borderId="23" xfId="0" applyBorder="1"/>
    <xf numFmtId="14" fontId="10" fillId="0" borderId="32" xfId="0" applyNumberFormat="1" applyFont="1" applyFill="1" applyBorder="1" applyAlignment="1" applyProtection="1">
      <protection locked="0"/>
    </xf>
    <xf numFmtId="0" fontId="0" fillId="0" borderId="33" xfId="0" applyFill="1" applyBorder="1" applyAlignment="1" applyProtection="1">
      <alignment horizontal="center" vertical="center" wrapText="1"/>
      <protection locked="0"/>
    </xf>
    <xf numFmtId="0" fontId="0" fillId="0" borderId="33" xfId="0" applyBorder="1"/>
    <xf numFmtId="0" fontId="0" fillId="0" borderId="34" xfId="0" applyFill="1" applyBorder="1" applyAlignment="1" applyProtection="1">
      <alignment horizontal="center" vertical="center" wrapText="1"/>
      <protection locked="0"/>
    </xf>
    <xf numFmtId="14" fontId="10" fillId="0" borderId="9" xfId="0" applyNumberFormat="1" applyFont="1" applyFill="1" applyBorder="1" applyAlignment="1" applyProtection="1">
      <protection locked="0"/>
    </xf>
    <xf numFmtId="0" fontId="0" fillId="0" borderId="9" xfId="0" applyBorder="1"/>
    <xf numFmtId="14" fontId="10" fillId="0" borderId="29" xfId="0" applyNumberFormat="1" applyFont="1" applyFill="1" applyBorder="1" applyAlignment="1" applyProtection="1">
      <protection locked="0"/>
    </xf>
    <xf numFmtId="0" fontId="0" fillId="0" borderId="35" xfId="0" applyBorder="1"/>
    <xf numFmtId="9" fontId="0" fillId="0" borderId="0" xfId="0" applyNumberFormat="1"/>
    <xf numFmtId="14" fontId="0" fillId="0" borderId="0" xfId="0" applyNumberFormat="1"/>
    <xf numFmtId="0" fontId="0" fillId="2" borderId="0" xfId="0" applyFill="1" applyBorder="1"/>
    <xf numFmtId="0" fontId="0" fillId="2" borderId="0" xfId="0" applyFill="1"/>
    <xf numFmtId="0" fontId="4" fillId="2" borderId="0" xfId="0" applyFont="1" applyFill="1"/>
    <xf numFmtId="0" fontId="0" fillId="2" borderId="2" xfId="0" applyFill="1" applyBorder="1"/>
    <xf numFmtId="0" fontId="0" fillId="2" borderId="3" xfId="0" applyFill="1" applyBorder="1"/>
    <xf numFmtId="0" fontId="0" fillId="2" borderId="5" xfId="0" applyFill="1" applyBorder="1"/>
    <xf numFmtId="0" fontId="4" fillId="2" borderId="6" xfId="0" applyFont="1" applyFill="1" applyBorder="1"/>
    <xf numFmtId="0" fontId="0" fillId="2" borderId="2" xfId="0"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2" borderId="5" xfId="0" applyFill="1" applyBorder="1" applyProtection="1">
      <protection locked="0"/>
    </xf>
    <xf numFmtId="0" fontId="0" fillId="2" borderId="6" xfId="0" applyFill="1" applyBorder="1" applyProtection="1">
      <protection locked="0"/>
    </xf>
    <xf numFmtId="0" fontId="21" fillId="2" borderId="5" xfId="0" applyFont="1" applyFill="1" applyBorder="1" applyAlignment="1" applyProtection="1">
      <alignment horizontal="right"/>
      <protection locked="0"/>
    </xf>
    <xf numFmtId="0" fontId="17" fillId="2" borderId="0" xfId="0" applyFont="1" applyFill="1" applyAlignment="1" applyProtection="1">
      <alignment horizontal="right"/>
      <protection locked="0"/>
    </xf>
    <xf numFmtId="0" fontId="9" fillId="2" borderId="9" xfId="0" applyFont="1" applyFill="1" applyBorder="1" applyAlignment="1" applyProtection="1">
      <protection locked="0"/>
    </xf>
    <xf numFmtId="14" fontId="9" fillId="2" borderId="9" xfId="0" applyNumberFormat="1" applyFont="1" applyFill="1" applyBorder="1" applyAlignment="1" applyProtection="1">
      <protection locked="0"/>
    </xf>
    <xf numFmtId="0" fontId="9" fillId="2" borderId="33" xfId="0" applyFont="1" applyFill="1" applyBorder="1" applyAlignment="1" applyProtection="1">
      <protection locked="0"/>
    </xf>
    <xf numFmtId="14" fontId="9" fillId="2" borderId="33" xfId="0" applyNumberFormat="1" applyFont="1" applyFill="1" applyBorder="1" applyAlignment="1" applyProtection="1">
      <protection locked="0"/>
    </xf>
    <xf numFmtId="0" fontId="9" fillId="2" borderId="24" xfId="0" applyFont="1" applyFill="1" applyBorder="1" applyAlignment="1" applyProtection="1">
      <protection locked="0"/>
    </xf>
    <xf numFmtId="14" fontId="9" fillId="2" borderId="48" xfId="0" applyNumberFormat="1" applyFont="1" applyFill="1" applyBorder="1" applyAlignment="1" applyProtection="1">
      <protection locked="0"/>
    </xf>
    <xf numFmtId="0" fontId="9" fillId="2" borderId="48" xfId="0" applyFont="1" applyFill="1" applyBorder="1" applyAlignment="1" applyProtection="1">
      <protection locked="0"/>
    </xf>
    <xf numFmtId="14" fontId="10" fillId="0" borderId="48" xfId="0" applyNumberFormat="1" applyFont="1" applyFill="1" applyBorder="1" applyAlignment="1" applyProtection="1">
      <protection locked="0"/>
    </xf>
    <xf numFmtId="0" fontId="9" fillId="2" borderId="11" xfId="0" applyFont="1" applyFill="1" applyBorder="1" applyAlignment="1" applyProtection="1">
      <protection locked="0"/>
    </xf>
    <xf numFmtId="0" fontId="9" fillId="2" borderId="28" xfId="0" applyFont="1" applyFill="1" applyBorder="1" applyAlignment="1" applyProtection="1">
      <protection locked="0"/>
    </xf>
    <xf numFmtId="14" fontId="9" fillId="2" borderId="35" xfId="0" applyNumberFormat="1" applyFont="1" applyFill="1" applyBorder="1" applyAlignment="1" applyProtection="1">
      <protection locked="0"/>
    </xf>
    <xf numFmtId="0" fontId="9" fillId="2" borderId="35" xfId="0" applyFont="1" applyFill="1" applyBorder="1" applyAlignment="1" applyProtection="1">
      <protection locked="0"/>
    </xf>
    <xf numFmtId="14" fontId="10" fillId="0" borderId="35" xfId="0" applyNumberFormat="1" applyFont="1" applyFill="1" applyBorder="1" applyAlignment="1" applyProtection="1">
      <protection locked="0"/>
    </xf>
    <xf numFmtId="14" fontId="10" fillId="0" borderId="0" xfId="0" applyNumberFormat="1" applyFont="1" applyFill="1" applyBorder="1" applyAlignment="1" applyProtection="1">
      <protection locked="0"/>
    </xf>
    <xf numFmtId="0" fontId="5" fillId="2" borderId="8" xfId="0" applyFont="1" applyFill="1" applyBorder="1" applyAlignment="1" applyProtection="1">
      <alignment horizontal="center"/>
      <protection locked="0"/>
    </xf>
    <xf numFmtId="0" fontId="22" fillId="8" borderId="9" xfId="0" applyFont="1" applyFill="1" applyBorder="1" applyAlignment="1">
      <alignment horizontal="center" vertical="center"/>
    </xf>
    <xf numFmtId="14" fontId="22" fillId="0" borderId="9" xfId="0" applyNumberFormat="1" applyFont="1" applyFill="1" applyBorder="1" applyAlignment="1">
      <alignment horizontal="center" vertical="center"/>
    </xf>
    <xf numFmtId="0" fontId="22" fillId="0" borderId="9" xfId="0" applyFont="1" applyFill="1" applyBorder="1" applyAlignment="1">
      <alignment horizontal="center" vertical="center"/>
    </xf>
    <xf numFmtId="14" fontId="22" fillId="8" borderId="9" xfId="0" applyNumberFormat="1" applyFont="1" applyFill="1" applyBorder="1" applyAlignment="1">
      <alignment horizontal="center" vertical="center"/>
    </xf>
    <xf numFmtId="0" fontId="23" fillId="0" borderId="9" xfId="0" applyFont="1" applyFill="1" applyBorder="1" applyAlignment="1">
      <alignment horizontal="left" vertical="center" wrapText="1"/>
    </xf>
    <xf numFmtId="14" fontId="10" fillId="0" borderId="3" xfId="0" applyNumberFormat="1" applyFont="1" applyFill="1" applyBorder="1" applyAlignment="1" applyProtection="1">
      <protection locked="0"/>
    </xf>
    <xf numFmtId="0" fontId="22" fillId="8" borderId="35" xfId="0" applyFont="1" applyFill="1" applyBorder="1" applyAlignment="1">
      <alignment horizontal="center" vertical="center" wrapText="1"/>
    </xf>
    <xf numFmtId="0" fontId="0" fillId="0" borderId="22" xfId="0" applyBorder="1" applyProtection="1"/>
    <xf numFmtId="0" fontId="23" fillId="0" borderId="48" xfId="0" applyFont="1" applyFill="1" applyBorder="1" applyAlignment="1">
      <alignment horizontal="left" vertical="center" wrapText="1"/>
    </xf>
    <xf numFmtId="14" fontId="22" fillId="0" borderId="48" xfId="0" applyNumberFormat="1" applyFont="1" applyFill="1" applyBorder="1" applyAlignment="1">
      <alignment horizontal="center" vertical="center"/>
    </xf>
    <xf numFmtId="0" fontId="0" fillId="0" borderId="0" xfId="0" applyAlignment="1">
      <alignment vertical="top" wrapText="1"/>
    </xf>
    <xf numFmtId="14" fontId="9" fillId="2" borderId="9" xfId="0" applyNumberFormat="1" applyFont="1" applyFill="1" applyBorder="1" applyAlignment="1" applyProtection="1">
      <alignment horizontal="left"/>
      <protection locked="0"/>
    </xf>
    <xf numFmtId="0" fontId="21" fillId="2" borderId="0" xfId="0" applyFont="1" applyFill="1" applyBorder="1" applyProtection="1">
      <protection locked="0"/>
    </xf>
    <xf numFmtId="0" fontId="21" fillId="4" borderId="13" xfId="0" applyFont="1" applyFill="1" applyBorder="1" applyProtection="1">
      <protection locked="0"/>
    </xf>
    <xf numFmtId="0" fontId="17" fillId="2" borderId="0" xfId="0" applyFont="1" applyFill="1" applyBorder="1" applyProtection="1">
      <protection locked="0"/>
    </xf>
    <xf numFmtId="0" fontId="21" fillId="2" borderId="18" xfId="0" applyFont="1" applyFill="1" applyBorder="1" applyProtection="1">
      <protection locked="0"/>
    </xf>
    <xf numFmtId="0" fontId="18" fillId="2" borderId="0" xfId="0" applyFont="1" applyFill="1" applyBorder="1" applyProtection="1">
      <protection locked="0"/>
    </xf>
    <xf numFmtId="0" fontId="20" fillId="0" borderId="9" xfId="0" applyFont="1" applyBorder="1" applyProtection="1">
      <protection locked="0"/>
    </xf>
    <xf numFmtId="0" fontId="25" fillId="0" borderId="9" xfId="0" applyFont="1" applyFill="1" applyBorder="1" applyProtection="1">
      <protection locked="0"/>
    </xf>
    <xf numFmtId="0" fontId="27" fillId="2" borderId="9" xfId="0" applyFont="1" applyFill="1" applyBorder="1" applyAlignment="1" applyProtection="1">
      <protection locked="0"/>
    </xf>
    <xf numFmtId="14" fontId="27" fillId="2" borderId="9" xfId="0" applyNumberFormat="1" applyFont="1" applyFill="1" applyBorder="1" applyAlignment="1" applyProtection="1">
      <alignment horizontal="left"/>
      <protection locked="0"/>
    </xf>
    <xf numFmtId="0" fontId="28" fillId="0" borderId="9" xfId="0" applyFont="1" applyFill="1" applyBorder="1" applyAlignment="1">
      <alignment horizontal="left" vertical="center" wrapText="1"/>
    </xf>
    <xf numFmtId="0" fontId="20" fillId="0" borderId="9" xfId="0" applyFont="1" applyBorder="1" applyAlignment="1" applyProtection="1">
      <alignment horizontal="center"/>
      <protection locked="0"/>
    </xf>
    <xf numFmtId="0" fontId="20" fillId="0" borderId="9" xfId="0" applyFont="1" applyFill="1" applyBorder="1" applyAlignment="1" applyProtection="1">
      <alignment horizontal="center"/>
      <protection locked="0"/>
    </xf>
    <xf numFmtId="0" fontId="20" fillId="0" borderId="10" xfId="0" applyFont="1" applyFill="1" applyBorder="1" applyAlignment="1" applyProtection="1">
      <alignment horizontal="center"/>
      <protection locked="0"/>
    </xf>
    <xf numFmtId="0" fontId="20" fillId="0" borderId="11" xfId="0" applyFont="1" applyFill="1" applyBorder="1" applyAlignment="1" applyProtection="1">
      <alignment horizontal="center"/>
      <protection locked="0"/>
    </xf>
    <xf numFmtId="14" fontId="25" fillId="0" borderId="9" xfId="0" applyNumberFormat="1" applyFont="1" applyFill="1" applyBorder="1" applyAlignment="1">
      <alignment horizontal="center" vertical="center"/>
    </xf>
    <xf numFmtId="0" fontId="0" fillId="2" borderId="4" xfId="0" applyFill="1" applyBorder="1"/>
    <xf numFmtId="0" fontId="0" fillId="2" borderId="6" xfId="0" applyFill="1" applyBorder="1"/>
    <xf numFmtId="0" fontId="30" fillId="2" borderId="0" xfId="0" applyFont="1" applyFill="1" applyBorder="1" applyAlignment="1" applyProtection="1">
      <alignment horizontal="right"/>
      <protection locked="0"/>
    </xf>
    <xf numFmtId="0" fontId="6" fillId="2" borderId="0" xfId="0" applyFont="1" applyFill="1" applyBorder="1" applyProtection="1">
      <protection locked="0"/>
    </xf>
    <xf numFmtId="0" fontId="30" fillId="2" borderId="5" xfId="0" applyFont="1" applyFill="1" applyBorder="1" applyAlignment="1" applyProtection="1">
      <alignment horizontal="right"/>
      <protection locked="0"/>
    </xf>
    <xf numFmtId="0" fontId="0" fillId="0" borderId="0" xfId="0" applyFill="1"/>
    <xf numFmtId="0" fontId="9" fillId="2" borderId="9" xfId="0" applyFont="1" applyFill="1" applyBorder="1" applyAlignment="1" applyProtection="1">
      <alignment horizontal="left"/>
      <protection locked="0"/>
    </xf>
    <xf numFmtId="0" fontId="31" fillId="2" borderId="0" xfId="0" applyFont="1" applyFill="1" applyBorder="1" applyAlignment="1" applyProtection="1">
      <protection locked="0"/>
    </xf>
    <xf numFmtId="0" fontId="32" fillId="3" borderId="7" xfId="0" applyFont="1" applyFill="1" applyBorder="1" applyAlignment="1" applyProtection="1">
      <alignment horizontal="center"/>
      <protection locked="0"/>
    </xf>
    <xf numFmtId="0" fontId="20" fillId="3" borderId="8" xfId="0" applyFont="1" applyFill="1" applyBorder="1" applyProtection="1">
      <protection locked="0"/>
    </xf>
    <xf numFmtId="0" fontId="20" fillId="0" borderId="9" xfId="0" applyFont="1" applyFill="1" applyBorder="1" applyAlignment="1" applyProtection="1">
      <alignment horizontal="center" vertical="center"/>
      <protection locked="0"/>
    </xf>
    <xf numFmtId="0" fontId="20" fillId="0" borderId="44" xfId="0" applyFont="1" applyBorder="1" applyAlignment="1" applyProtection="1">
      <alignment horizontal="center" vertical="center"/>
      <protection locked="0"/>
    </xf>
    <xf numFmtId="0" fontId="20" fillId="0" borderId="9" xfId="0" applyFont="1" applyBorder="1" applyAlignment="1" applyProtection="1">
      <alignment horizontal="center" vertical="center"/>
      <protection locked="0"/>
    </xf>
    <xf numFmtId="0" fontId="33" fillId="0" borderId="33" xfId="0" applyFont="1" applyBorder="1" applyAlignment="1">
      <alignment horizontal="left" vertical="center" indent="2"/>
    </xf>
    <xf numFmtId="0" fontId="5" fillId="0" borderId="8"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5" fillId="0" borderId="44"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24" fillId="0" borderId="0" xfId="0" applyFont="1"/>
    <xf numFmtId="0" fontId="33" fillId="0" borderId="49" xfId="0" applyFont="1" applyBorder="1" applyAlignment="1">
      <alignment horizontal="left" vertical="center" indent="2"/>
    </xf>
    <xf numFmtId="0" fontId="33" fillId="0" borderId="34" xfId="0" applyFont="1" applyBorder="1" applyAlignment="1">
      <alignment horizontal="left" vertical="center" indent="2"/>
    </xf>
    <xf numFmtId="0" fontId="5" fillId="2" borderId="0" xfId="0" applyFont="1" applyFill="1" applyBorder="1" applyAlignment="1" applyProtection="1">
      <alignment horizontal="center" vertical="center"/>
      <protection locked="0"/>
    </xf>
    <xf numFmtId="0" fontId="12" fillId="3" borderId="7" xfId="0" applyFont="1" applyFill="1" applyBorder="1" applyAlignment="1" applyProtection="1">
      <alignment horizontal="center"/>
      <protection locked="0"/>
    </xf>
    <xf numFmtId="0" fontId="26" fillId="3" borderId="8" xfId="0" applyFont="1" applyFill="1" applyBorder="1" applyProtection="1">
      <protection locked="0"/>
    </xf>
    <xf numFmtId="0" fontId="24" fillId="2" borderId="0" xfId="0" applyFont="1" applyFill="1" applyAlignment="1"/>
    <xf numFmtId="0" fontId="24" fillId="2" borderId="0" xfId="0" applyFont="1" applyFill="1"/>
    <xf numFmtId="0" fontId="12" fillId="2" borderId="12" xfId="0" applyFont="1" applyFill="1" applyBorder="1" applyAlignment="1" applyProtection="1">
      <alignment horizontal="center"/>
    </xf>
    <xf numFmtId="0" fontId="5" fillId="0" borderId="8" xfId="0" applyFont="1" applyFill="1" applyBorder="1" applyAlignment="1" applyProtection="1">
      <alignment horizontal="center" vertical="center"/>
      <protection locked="0"/>
    </xf>
    <xf numFmtId="0" fontId="5" fillId="0" borderId="9" xfId="0" applyFont="1" applyFill="1" applyBorder="1" applyAlignment="1" applyProtection="1">
      <alignment horizontal="center" vertical="center"/>
      <protection locked="0"/>
    </xf>
    <xf numFmtId="0" fontId="12" fillId="2" borderId="15" xfId="0" applyFont="1" applyFill="1" applyBorder="1" applyAlignment="1" applyProtection="1">
      <alignment horizontal="center"/>
    </xf>
    <xf numFmtId="0" fontId="12" fillId="2" borderId="17" xfId="0" applyFont="1" applyFill="1" applyBorder="1" applyAlignment="1" applyProtection="1">
      <alignment horizontal="center"/>
    </xf>
    <xf numFmtId="0" fontId="6" fillId="2" borderId="0" xfId="0" applyFont="1" applyFill="1" applyBorder="1" applyAlignment="1" applyProtection="1">
      <alignment horizontal="center"/>
    </xf>
    <xf numFmtId="0" fontId="10" fillId="2" borderId="0" xfId="0" applyFont="1" applyFill="1" applyBorder="1" applyProtection="1"/>
    <xf numFmtId="0" fontId="24" fillId="2" borderId="0" xfId="0" applyFont="1" applyFill="1" applyBorder="1"/>
    <xf numFmtId="0" fontId="5" fillId="2" borderId="8" xfId="0" applyFont="1" applyFill="1" applyBorder="1" applyAlignment="1" applyProtection="1">
      <alignment horizontal="center" vertical="center"/>
      <protection locked="0"/>
    </xf>
    <xf numFmtId="0" fontId="5" fillId="2" borderId="9" xfId="0" applyFont="1" applyFill="1" applyBorder="1" applyAlignment="1" applyProtection="1">
      <alignment horizontal="center" vertical="center"/>
      <protection locked="0"/>
    </xf>
    <xf numFmtId="0" fontId="5" fillId="2" borderId="7" xfId="0" applyFont="1" applyFill="1" applyBorder="1" applyAlignment="1" applyProtection="1">
      <alignment horizontal="center" vertical="center"/>
      <protection locked="0"/>
    </xf>
    <xf numFmtId="0" fontId="21" fillId="0" borderId="49" xfId="0" applyFont="1" applyBorder="1" applyAlignment="1">
      <alignment horizontal="left" vertical="center" indent="2"/>
    </xf>
    <xf numFmtId="0" fontId="6" fillId="3" borderId="7" xfId="0" applyFont="1" applyFill="1" applyBorder="1" applyAlignment="1" applyProtection="1">
      <alignment horizontal="center"/>
      <protection locked="0"/>
    </xf>
    <xf numFmtId="0" fontId="3" fillId="2" borderId="17" xfId="0" applyFont="1" applyFill="1" applyBorder="1" applyAlignment="1">
      <alignment horizontal="center"/>
    </xf>
    <xf numFmtId="0" fontId="0" fillId="0" borderId="8" xfId="0" applyFont="1" applyBorder="1" applyAlignment="1">
      <alignment horizontal="center" vertical="center"/>
    </xf>
    <xf numFmtId="0" fontId="0" fillId="0" borderId="9" xfId="0" applyFont="1" applyBorder="1" applyAlignment="1">
      <alignment horizontal="center" vertical="center"/>
    </xf>
    <xf numFmtId="0" fontId="20" fillId="3" borderId="7" xfId="0" applyFont="1" applyFill="1" applyBorder="1" applyProtection="1">
      <protection locked="0"/>
    </xf>
    <xf numFmtId="0" fontId="0" fillId="2" borderId="22" xfId="0" applyFill="1" applyBorder="1" applyProtection="1">
      <protection locked="0"/>
    </xf>
    <xf numFmtId="0" fontId="0" fillId="2" borderId="23" xfId="0" applyFill="1" applyBorder="1"/>
    <xf numFmtId="14" fontId="22" fillId="0" borderId="49" xfId="0" applyNumberFormat="1" applyFont="1" applyFill="1" applyBorder="1" applyAlignment="1">
      <alignment horizontal="center" vertical="center"/>
    </xf>
    <xf numFmtId="0" fontId="5" fillId="2" borderId="9" xfId="0" applyFont="1" applyFill="1" applyBorder="1" applyAlignment="1" applyProtection="1">
      <alignment vertical="top" wrapText="1"/>
    </xf>
    <xf numFmtId="0" fontId="5" fillId="2" borderId="9" xfId="0" applyFont="1" applyFill="1" applyBorder="1" applyAlignment="1" applyProtection="1">
      <alignment vertical="top" wrapText="1"/>
      <protection locked="0"/>
    </xf>
    <xf numFmtId="0" fontId="0" fillId="0" borderId="9" xfId="0" applyBorder="1" applyAlignment="1">
      <alignment vertical="top" wrapText="1"/>
    </xf>
    <xf numFmtId="0" fontId="4" fillId="0" borderId="0" xfId="0" applyFont="1" applyFill="1" applyProtection="1">
      <protection locked="0"/>
    </xf>
    <xf numFmtId="0" fontId="9" fillId="2" borderId="50" xfId="0" applyFont="1" applyFill="1" applyBorder="1" applyAlignment="1" applyProtection="1">
      <protection locked="0"/>
    </xf>
    <xf numFmtId="0" fontId="23" fillId="0" borderId="33" xfId="0" applyFont="1" applyFill="1" applyBorder="1" applyAlignment="1">
      <alignment horizontal="left" vertical="center" wrapText="1"/>
    </xf>
    <xf numFmtId="14" fontId="10" fillId="0" borderId="49" xfId="0" applyNumberFormat="1" applyFont="1" applyFill="1" applyBorder="1" applyAlignment="1" applyProtection="1">
      <protection locked="0"/>
    </xf>
    <xf numFmtId="0" fontId="5" fillId="2" borderId="33" xfId="0" applyFont="1" applyFill="1" applyBorder="1" applyAlignment="1" applyProtection="1">
      <alignment vertical="top" wrapText="1"/>
      <protection locked="0"/>
    </xf>
    <xf numFmtId="0" fontId="0" fillId="0" borderId="34" xfId="0" applyBorder="1" applyAlignment="1">
      <alignment vertical="top" wrapText="1"/>
    </xf>
    <xf numFmtId="14" fontId="9" fillId="2" borderId="48" xfId="0" applyNumberFormat="1" applyFont="1" applyFill="1" applyBorder="1" applyAlignment="1" applyProtection="1">
      <alignment horizontal="left"/>
      <protection locked="0"/>
    </xf>
    <xf numFmtId="0" fontId="5" fillId="2" borderId="48" xfId="0" applyFont="1" applyFill="1" applyBorder="1" applyAlignment="1" applyProtection="1">
      <alignment vertical="top" wrapText="1"/>
      <protection locked="0"/>
    </xf>
    <xf numFmtId="0" fontId="27" fillId="2" borderId="28" xfId="0" applyFont="1" applyFill="1" applyBorder="1" applyAlignment="1" applyProtection="1">
      <protection locked="0"/>
    </xf>
    <xf numFmtId="14" fontId="27" fillId="2" borderId="35" xfId="0" applyNumberFormat="1" applyFont="1" applyFill="1" applyBorder="1" applyAlignment="1" applyProtection="1">
      <alignment horizontal="left"/>
      <protection locked="0"/>
    </xf>
    <xf numFmtId="0" fontId="28" fillId="0" borderId="35" xfId="0" applyFont="1" applyFill="1" applyBorder="1" applyAlignment="1">
      <alignment horizontal="left" vertical="center" wrapText="1"/>
    </xf>
    <xf numFmtId="14" fontId="25" fillId="0" borderId="35" xfId="0" applyNumberFormat="1" applyFont="1" applyFill="1" applyBorder="1" applyAlignment="1">
      <alignment horizontal="center" vertical="center"/>
    </xf>
    <xf numFmtId="0" fontId="0" fillId="0" borderId="35" xfId="0" applyBorder="1" applyAlignment="1">
      <alignment vertical="top" wrapText="1"/>
    </xf>
    <xf numFmtId="14" fontId="25" fillId="0" borderId="49" xfId="0" applyNumberFormat="1" applyFont="1" applyFill="1" applyBorder="1" applyAlignment="1">
      <alignment horizontal="center" vertical="center"/>
    </xf>
    <xf numFmtId="0" fontId="26" fillId="3" borderId="12" xfId="0" applyFont="1" applyFill="1" applyBorder="1" applyAlignment="1" applyProtection="1">
      <alignment horizontal="center" vertical="center"/>
      <protection locked="0"/>
    </xf>
    <xf numFmtId="0" fontId="26" fillId="3" borderId="14" xfId="0" applyFont="1" applyFill="1" applyBorder="1" applyAlignment="1" applyProtection="1">
      <alignment horizontal="center" vertical="center"/>
      <protection locked="0"/>
    </xf>
    <xf numFmtId="0" fontId="12" fillId="3" borderId="13" xfId="0" applyFont="1" applyFill="1" applyBorder="1" applyAlignment="1" applyProtection="1">
      <alignment horizontal="center" vertical="center"/>
      <protection locked="0"/>
    </xf>
    <xf numFmtId="0" fontId="20" fillId="3" borderId="13" xfId="0" applyFont="1" applyFill="1" applyBorder="1" applyProtection="1">
      <protection locked="0"/>
    </xf>
    <xf numFmtId="0" fontId="6" fillId="3" borderId="12" xfId="0" applyFont="1" applyFill="1" applyBorder="1" applyAlignment="1" applyProtection="1">
      <alignment horizontal="center"/>
      <protection locked="0"/>
    </xf>
    <xf numFmtId="0" fontId="20" fillId="3" borderId="8" xfId="0" applyFont="1" applyFill="1" applyBorder="1" applyAlignment="1" applyProtection="1">
      <protection locked="0"/>
    </xf>
    <xf numFmtId="0" fontId="6" fillId="3" borderId="7" xfId="0" applyFont="1" applyFill="1" applyBorder="1" applyAlignment="1" applyProtection="1">
      <protection locked="0"/>
    </xf>
    <xf numFmtId="0" fontId="20" fillId="3" borderId="13" xfId="0" applyFont="1" applyFill="1" applyBorder="1" applyAlignment="1" applyProtection="1">
      <protection locked="0"/>
    </xf>
    <xf numFmtId="0" fontId="6" fillId="3" borderId="12" xfId="0" applyFont="1" applyFill="1" applyBorder="1" applyAlignment="1" applyProtection="1">
      <protection locked="0"/>
    </xf>
    <xf numFmtId="0" fontId="20" fillId="3" borderId="9" xfId="0" applyFont="1" applyFill="1" applyBorder="1" applyProtection="1">
      <protection locked="0"/>
    </xf>
    <xf numFmtId="0" fontId="21" fillId="0" borderId="13" xfId="0" applyFont="1" applyFill="1" applyBorder="1" applyProtection="1">
      <protection locked="0"/>
    </xf>
    <xf numFmtId="0" fontId="21" fillId="0" borderId="16" xfId="0" applyFont="1" applyFill="1" applyBorder="1" applyProtection="1">
      <protection locked="0"/>
    </xf>
    <xf numFmtId="0" fontId="21" fillId="0" borderId="19" xfId="0" applyFont="1" applyFill="1" applyBorder="1" applyProtection="1">
      <protection locked="0"/>
    </xf>
    <xf numFmtId="0" fontId="21" fillId="0" borderId="16" xfId="0" applyFont="1" applyFill="1" applyBorder="1" applyProtection="1"/>
    <xf numFmtId="0" fontId="25" fillId="0" borderId="16" xfId="0" applyFont="1" applyFill="1" applyBorder="1" applyProtection="1"/>
    <xf numFmtId="0" fontId="6" fillId="0" borderId="12" xfId="0" applyFont="1" applyFill="1" applyBorder="1" applyAlignment="1" applyProtection="1">
      <alignment horizontal="center"/>
      <protection locked="0"/>
    </xf>
    <xf numFmtId="0" fontId="6" fillId="0" borderId="15" xfId="0" applyFont="1" applyFill="1" applyBorder="1" applyAlignment="1" applyProtection="1">
      <alignment horizontal="center"/>
      <protection locked="0"/>
    </xf>
    <xf numFmtId="0" fontId="6" fillId="0" borderId="17" xfId="0" applyFont="1" applyFill="1" applyBorder="1" applyAlignment="1" applyProtection="1">
      <alignment horizontal="center"/>
      <protection locked="0"/>
    </xf>
    <xf numFmtId="0" fontId="21" fillId="0" borderId="16" xfId="0" applyFont="1" applyFill="1" applyBorder="1" applyAlignment="1" applyProtection="1"/>
    <xf numFmtId="0" fontId="25" fillId="0" borderId="16" xfId="0" applyFont="1" applyFill="1" applyBorder="1" applyAlignment="1" applyProtection="1"/>
    <xf numFmtId="0" fontId="5" fillId="0" borderId="7" xfId="0" applyFont="1" applyBorder="1" applyAlignment="1" applyProtection="1">
      <alignment horizontal="center"/>
      <protection locked="0"/>
    </xf>
    <xf numFmtId="0" fontId="27" fillId="2" borderId="33" xfId="0" applyFont="1" applyFill="1" applyBorder="1" applyAlignment="1" applyProtection="1">
      <protection locked="0"/>
    </xf>
    <xf numFmtId="14" fontId="27" fillId="2" borderId="33" xfId="0" applyNumberFormat="1" applyFont="1" applyFill="1" applyBorder="1" applyAlignment="1" applyProtection="1">
      <alignment horizontal="left"/>
      <protection locked="0"/>
    </xf>
    <xf numFmtId="0" fontId="28" fillId="0" borderId="33" xfId="0" applyFont="1" applyFill="1" applyBorder="1" applyAlignment="1">
      <alignment horizontal="left" vertical="center" wrapText="1"/>
    </xf>
    <xf numFmtId="14" fontId="25" fillId="0" borderId="33" xfId="0" applyNumberFormat="1" applyFont="1" applyFill="1" applyBorder="1" applyAlignment="1">
      <alignment horizontal="center" vertical="center"/>
    </xf>
    <xf numFmtId="0" fontId="0" fillId="0" borderId="33" xfId="0" applyBorder="1" applyAlignment="1">
      <alignment vertical="top" wrapText="1"/>
    </xf>
    <xf numFmtId="0" fontId="27" fillId="2" borderId="24" xfId="0" applyFont="1" applyFill="1" applyBorder="1" applyAlignment="1" applyProtection="1">
      <protection locked="0"/>
    </xf>
    <xf numFmtId="14" fontId="27" fillId="2" borderId="48" xfId="0" applyNumberFormat="1" applyFont="1" applyFill="1" applyBorder="1" applyAlignment="1" applyProtection="1">
      <alignment horizontal="left"/>
      <protection locked="0"/>
    </xf>
    <xf numFmtId="0" fontId="28" fillId="0" borderId="48" xfId="0" applyFont="1" applyFill="1" applyBorder="1" applyAlignment="1">
      <alignment horizontal="left" vertical="center" wrapText="1"/>
    </xf>
    <xf numFmtId="14" fontId="25" fillId="0" borderId="48" xfId="0" applyNumberFormat="1" applyFont="1" applyFill="1" applyBorder="1" applyAlignment="1">
      <alignment horizontal="center" vertical="center"/>
    </xf>
    <xf numFmtId="0" fontId="0" fillId="0" borderId="48" xfId="0" applyBorder="1" applyAlignment="1">
      <alignment vertical="top" wrapText="1"/>
    </xf>
    <xf numFmtId="0" fontId="27" fillId="2" borderId="34" xfId="0" applyFont="1" applyFill="1" applyBorder="1" applyAlignment="1" applyProtection="1">
      <protection locked="0"/>
    </xf>
    <xf numFmtId="14" fontId="27" fillId="2" borderId="34" xfId="0" applyNumberFormat="1" applyFont="1" applyFill="1" applyBorder="1" applyAlignment="1" applyProtection="1">
      <alignment horizontal="left"/>
      <protection locked="0"/>
    </xf>
    <xf numFmtId="0" fontId="28" fillId="0" borderId="34" xfId="0" applyFont="1" applyFill="1" applyBorder="1" applyAlignment="1">
      <alignment horizontal="left" vertical="center" wrapText="1"/>
    </xf>
    <xf numFmtId="14" fontId="25" fillId="0" borderId="34" xfId="0" applyNumberFormat="1" applyFont="1" applyFill="1" applyBorder="1" applyAlignment="1">
      <alignment horizontal="center" vertical="center"/>
    </xf>
    <xf numFmtId="0" fontId="27" fillId="2" borderId="11" xfId="0" applyFont="1" applyFill="1" applyBorder="1" applyAlignment="1" applyProtection="1">
      <protection locked="0"/>
    </xf>
    <xf numFmtId="0" fontId="0" fillId="0" borderId="0" xfId="0" applyBorder="1" applyProtection="1"/>
    <xf numFmtId="0" fontId="27" fillId="2" borderId="35" xfId="0" applyFont="1" applyFill="1" applyBorder="1" applyAlignment="1" applyProtection="1">
      <protection locked="0"/>
    </xf>
    <xf numFmtId="0" fontId="5" fillId="0" borderId="9" xfId="0" applyFont="1" applyBorder="1" applyAlignment="1" applyProtection="1">
      <alignment horizontal="center" vertical="top"/>
      <protection locked="0"/>
    </xf>
    <xf numFmtId="0" fontId="5" fillId="2" borderId="9" xfId="0" applyFont="1" applyFill="1" applyBorder="1" applyAlignment="1" applyProtection="1">
      <alignment horizontal="center" vertical="top"/>
      <protection locked="0"/>
    </xf>
    <xf numFmtId="0" fontId="5" fillId="2" borderId="0" xfId="0" applyFont="1" applyFill="1" applyBorder="1" applyAlignment="1" applyProtection="1">
      <alignment horizontal="center" vertical="top"/>
      <protection locked="0"/>
    </xf>
    <xf numFmtId="0" fontId="5" fillId="0" borderId="8" xfId="0" applyFont="1" applyBorder="1" applyAlignment="1" applyProtection="1">
      <alignment horizontal="center" vertical="top"/>
      <protection locked="0"/>
    </xf>
    <xf numFmtId="0" fontId="5" fillId="2" borderId="8" xfId="0" applyFont="1" applyFill="1" applyBorder="1" applyAlignment="1" applyProtection="1">
      <alignment horizontal="center" vertical="top"/>
      <protection locked="0"/>
    </xf>
    <xf numFmtId="0" fontId="28" fillId="0" borderId="9" xfId="0" applyNumberFormat="1" applyFont="1" applyFill="1" applyBorder="1" applyAlignment="1">
      <alignment horizontal="left" vertical="center" wrapText="1"/>
    </xf>
    <xf numFmtId="0" fontId="20" fillId="3" borderId="0" xfId="0" applyFont="1" applyFill="1" applyBorder="1" applyAlignment="1" applyProtection="1">
      <alignment horizontal="center"/>
      <protection locked="0"/>
    </xf>
    <xf numFmtId="0" fontId="6" fillId="2" borderId="0" xfId="0" applyFont="1" applyFill="1" applyBorder="1" applyAlignment="1" applyProtection="1">
      <alignment vertical="top"/>
      <protection locked="0"/>
    </xf>
    <xf numFmtId="0" fontId="20" fillId="3" borderId="52" xfId="0" applyFont="1" applyFill="1" applyBorder="1" applyAlignment="1" applyProtection="1">
      <alignment horizontal="center"/>
      <protection locked="0"/>
    </xf>
    <xf numFmtId="0" fontId="6" fillId="2" borderId="9" xfId="0" applyFont="1" applyFill="1" applyBorder="1" applyAlignment="1" applyProtection="1">
      <alignment vertical="top"/>
      <protection locked="0"/>
    </xf>
    <xf numFmtId="0" fontId="28" fillId="0" borderId="48" xfId="0" applyNumberFormat="1" applyFont="1" applyFill="1" applyBorder="1" applyAlignment="1">
      <alignment horizontal="left" vertical="center" wrapText="1"/>
    </xf>
    <xf numFmtId="0" fontId="28" fillId="0" borderId="35" xfId="0" applyNumberFormat="1" applyFont="1" applyFill="1" applyBorder="1" applyAlignment="1">
      <alignment horizontal="left" vertical="center" wrapText="1"/>
    </xf>
    <xf numFmtId="0" fontId="28" fillId="0" borderId="33" xfId="0" applyNumberFormat="1" applyFont="1" applyFill="1" applyBorder="1" applyAlignment="1">
      <alignment horizontal="left" vertical="center" wrapText="1"/>
    </xf>
    <xf numFmtId="0" fontId="28" fillId="0" borderId="34" xfId="0" applyNumberFormat="1" applyFont="1" applyFill="1" applyBorder="1" applyAlignment="1">
      <alignment horizontal="left" vertical="center" wrapText="1"/>
    </xf>
    <xf numFmtId="14" fontId="35" fillId="9" borderId="9" xfId="0" applyNumberFormat="1" applyFont="1" applyFill="1" applyBorder="1" applyAlignment="1">
      <alignment horizontal="left"/>
    </xf>
    <xf numFmtId="14" fontId="35" fillId="9" borderId="9" xfId="0" applyNumberFormat="1" applyFont="1" applyFill="1" applyBorder="1" applyAlignment="1">
      <alignment horizontal="left" vertical="center"/>
    </xf>
    <xf numFmtId="0" fontId="21" fillId="2" borderId="7" xfId="0" applyFont="1" applyFill="1" applyBorder="1" applyAlignment="1" applyProtection="1">
      <alignment vertical="top" wrapText="1"/>
      <protection locked="0"/>
    </xf>
    <xf numFmtId="0" fontId="21" fillId="2" borderId="10" xfId="0" applyFont="1" applyFill="1" applyBorder="1" applyAlignment="1" applyProtection="1">
      <alignment vertical="top"/>
      <protection locked="0"/>
    </xf>
    <xf numFmtId="0" fontId="21" fillId="2" borderId="8" xfId="0" applyFont="1" applyFill="1" applyBorder="1" applyAlignment="1" applyProtection="1">
      <alignment vertical="top"/>
      <protection locked="0"/>
    </xf>
    <xf numFmtId="0" fontId="7" fillId="2" borderId="5" xfId="0" applyFont="1" applyFill="1" applyBorder="1" applyAlignment="1" applyProtection="1">
      <alignment horizontal="center" vertical="center"/>
      <protection locked="0"/>
    </xf>
    <xf numFmtId="0" fontId="7" fillId="2" borderId="0" xfId="0" applyFont="1" applyFill="1" applyBorder="1" applyAlignment="1" applyProtection="1">
      <alignment horizontal="center" vertical="center"/>
      <protection locked="0"/>
    </xf>
    <xf numFmtId="0" fontId="7" fillId="2" borderId="6" xfId="0" applyFont="1" applyFill="1" applyBorder="1" applyAlignment="1" applyProtection="1">
      <alignment horizontal="center" vertical="center"/>
      <protection locked="0"/>
    </xf>
    <xf numFmtId="0" fontId="21" fillId="0" borderId="9" xfId="0" applyFont="1" applyFill="1" applyBorder="1" applyAlignment="1">
      <alignment horizontal="left"/>
    </xf>
    <xf numFmtId="0" fontId="10" fillId="2" borderId="0" xfId="0" applyFont="1" applyFill="1" applyBorder="1" applyAlignment="1" applyProtection="1">
      <alignment horizontal="left"/>
      <protection locked="0"/>
    </xf>
    <xf numFmtId="0" fontId="20" fillId="3" borderId="7" xfId="0" applyFont="1" applyFill="1" applyBorder="1" applyAlignment="1" applyProtection="1">
      <alignment horizontal="left" vertical="top"/>
      <protection locked="0"/>
    </xf>
    <xf numFmtId="0" fontId="20" fillId="3" borderId="10" xfId="0" applyFont="1" applyFill="1" applyBorder="1" applyAlignment="1" applyProtection="1">
      <alignment horizontal="left" vertical="top"/>
      <protection locked="0"/>
    </xf>
    <xf numFmtId="0" fontId="20" fillId="3" borderId="8" xfId="0" applyFont="1" applyFill="1" applyBorder="1" applyAlignment="1" applyProtection="1">
      <alignment horizontal="left" vertical="top"/>
      <protection locked="0"/>
    </xf>
    <xf numFmtId="0" fontId="20" fillId="2" borderId="5" xfId="0" applyFont="1" applyFill="1" applyBorder="1" applyAlignment="1" applyProtection="1">
      <alignment horizontal="right"/>
      <protection locked="0"/>
    </xf>
    <xf numFmtId="0" fontId="20" fillId="2" borderId="0" xfId="0" applyFont="1" applyFill="1" applyBorder="1" applyAlignment="1" applyProtection="1">
      <alignment horizontal="right"/>
      <protection locked="0"/>
    </xf>
    <xf numFmtId="0" fontId="20" fillId="2" borderId="5" xfId="0" applyFont="1" applyFill="1" applyBorder="1" applyAlignment="1" applyProtection="1">
      <alignment horizontal="right" vertical="top" wrapText="1"/>
      <protection locked="0"/>
    </xf>
    <xf numFmtId="0" fontId="20" fillId="2" borderId="0" xfId="0" applyFont="1" applyFill="1" applyBorder="1" applyAlignment="1" applyProtection="1">
      <alignment horizontal="right" vertical="top" wrapText="1"/>
      <protection locked="0"/>
    </xf>
    <xf numFmtId="0" fontId="29" fillId="2" borderId="0" xfId="0" applyFont="1" applyFill="1" applyBorder="1" applyAlignment="1">
      <alignment horizontal="center"/>
    </xf>
    <xf numFmtId="0" fontId="6" fillId="7" borderId="36" xfId="0" applyFont="1" applyFill="1" applyBorder="1" applyAlignment="1" applyProtection="1">
      <alignment horizontal="center"/>
      <protection locked="0"/>
    </xf>
    <xf numFmtId="0" fontId="6" fillId="7" borderId="37" xfId="0" applyFont="1" applyFill="1" applyBorder="1" applyAlignment="1" applyProtection="1">
      <alignment horizontal="center"/>
      <protection locked="0"/>
    </xf>
    <xf numFmtId="0" fontId="6" fillId="7" borderId="38" xfId="0" applyFont="1" applyFill="1" applyBorder="1" applyAlignment="1" applyProtection="1">
      <alignment horizontal="center"/>
      <protection locked="0"/>
    </xf>
    <xf numFmtId="0" fontId="21" fillId="2" borderId="30" xfId="0" applyFont="1" applyFill="1" applyBorder="1" applyAlignment="1" applyProtection="1">
      <alignment vertical="top" wrapText="1"/>
      <protection locked="0"/>
    </xf>
    <xf numFmtId="0" fontId="21" fillId="2" borderId="31" xfId="0" applyFont="1" applyFill="1" applyBorder="1" applyAlignment="1" applyProtection="1">
      <alignment vertical="top"/>
      <protection locked="0"/>
    </xf>
    <xf numFmtId="0" fontId="21" fillId="2" borderId="29" xfId="0" applyFont="1" applyFill="1" applyBorder="1" applyAlignment="1" applyProtection="1">
      <alignment vertical="top"/>
      <protection locked="0"/>
    </xf>
    <xf numFmtId="0" fontId="21" fillId="2" borderId="7" xfId="0" applyFont="1" applyFill="1" applyBorder="1" applyAlignment="1" applyProtection="1">
      <alignment vertical="top"/>
      <protection locked="0"/>
    </xf>
    <xf numFmtId="0" fontId="21" fillId="2" borderId="30" xfId="0" applyFont="1" applyFill="1" applyBorder="1" applyAlignment="1" applyProtection="1">
      <alignment vertical="top"/>
      <protection locked="0"/>
    </xf>
    <xf numFmtId="0" fontId="21" fillId="2" borderId="17" xfId="0" applyFont="1" applyFill="1" applyBorder="1" applyAlignment="1" applyProtection="1">
      <alignment vertical="top"/>
      <protection locked="0"/>
    </xf>
    <xf numFmtId="0" fontId="21" fillId="2" borderId="18" xfId="0" applyFont="1" applyFill="1" applyBorder="1" applyAlignment="1" applyProtection="1">
      <alignment vertical="top"/>
      <protection locked="0"/>
    </xf>
    <xf numFmtId="0" fontId="21" fillId="2" borderId="19" xfId="0" applyFont="1" applyFill="1" applyBorder="1" applyAlignment="1" applyProtection="1">
      <alignment vertical="top"/>
      <protection locked="0"/>
    </xf>
    <xf numFmtId="0" fontId="21" fillId="2" borderId="12" xfId="0" applyFont="1" applyFill="1" applyBorder="1" applyAlignment="1" applyProtection="1">
      <alignment vertical="top"/>
      <protection locked="0"/>
    </xf>
    <xf numFmtId="0" fontId="21" fillId="2" borderId="14" xfId="0" applyFont="1" applyFill="1" applyBorder="1" applyAlignment="1" applyProtection="1">
      <alignment vertical="top"/>
      <protection locked="0"/>
    </xf>
    <xf numFmtId="0" fontId="21" fillId="2" borderId="13" xfId="0" applyFont="1" applyFill="1" applyBorder="1" applyAlignment="1" applyProtection="1">
      <alignment vertical="top"/>
      <protection locked="0"/>
    </xf>
    <xf numFmtId="0" fontId="21" fillId="2" borderId="26" xfId="0" applyFont="1" applyFill="1" applyBorder="1" applyAlignment="1" applyProtection="1">
      <alignment vertical="top"/>
      <protection locked="0"/>
    </xf>
    <xf numFmtId="0" fontId="21" fillId="2" borderId="27" xfId="0" applyFont="1" applyFill="1" applyBorder="1" applyAlignment="1" applyProtection="1">
      <alignment vertical="top"/>
      <protection locked="0"/>
    </xf>
    <xf numFmtId="0" fontId="21" fillId="2" borderId="25" xfId="0" applyFont="1" applyFill="1" applyBorder="1" applyAlignment="1" applyProtection="1">
      <alignment vertical="top"/>
      <protection locked="0"/>
    </xf>
    <xf numFmtId="0" fontId="5" fillId="2" borderId="7" xfId="0" applyFont="1" applyFill="1" applyBorder="1" applyAlignment="1" applyProtection="1">
      <alignment vertical="top"/>
      <protection locked="0"/>
    </xf>
    <xf numFmtId="0" fontId="5" fillId="2" borderId="10" xfId="0" applyFont="1" applyFill="1" applyBorder="1" applyAlignment="1" applyProtection="1">
      <alignment vertical="top"/>
      <protection locked="0"/>
    </xf>
    <xf numFmtId="0" fontId="5" fillId="2" borderId="8" xfId="0" applyFont="1" applyFill="1" applyBorder="1" applyAlignment="1" applyProtection="1">
      <alignment vertical="top"/>
      <protection locked="0"/>
    </xf>
    <xf numFmtId="0" fontId="5" fillId="2" borderId="7" xfId="0" applyFont="1" applyFill="1" applyBorder="1" applyAlignment="1" applyProtection="1">
      <alignment vertical="top" wrapText="1"/>
      <protection locked="0"/>
    </xf>
    <xf numFmtId="0" fontId="5" fillId="2" borderId="10" xfId="0" applyFont="1" applyFill="1" applyBorder="1" applyAlignment="1" applyProtection="1">
      <alignment vertical="top" wrapText="1"/>
      <protection locked="0"/>
    </xf>
    <xf numFmtId="0" fontId="5" fillId="2" borderId="8" xfId="0" applyFont="1" applyFill="1" applyBorder="1" applyAlignment="1" applyProtection="1">
      <alignment vertical="top" wrapText="1"/>
      <protection locked="0"/>
    </xf>
    <xf numFmtId="0" fontId="5" fillId="2" borderId="26" xfId="0" applyFont="1" applyFill="1" applyBorder="1" applyAlignment="1" applyProtection="1">
      <alignment vertical="top"/>
      <protection locked="0"/>
    </xf>
    <xf numFmtId="0" fontId="5" fillId="2" borderId="27" xfId="0" applyFont="1" applyFill="1" applyBorder="1" applyAlignment="1" applyProtection="1">
      <alignment vertical="top"/>
      <protection locked="0"/>
    </xf>
    <xf numFmtId="0" fontId="5" fillId="2" borderId="25" xfId="0" applyFont="1" applyFill="1" applyBorder="1" applyAlignment="1" applyProtection="1">
      <alignment vertical="top"/>
      <protection locked="0"/>
    </xf>
    <xf numFmtId="0" fontId="5" fillId="2" borderId="12" xfId="0" applyFont="1" applyFill="1" applyBorder="1" applyAlignment="1" applyProtection="1">
      <alignment vertical="top" wrapText="1"/>
      <protection locked="0"/>
    </xf>
    <xf numFmtId="0" fontId="5" fillId="2" borderId="14" xfId="0" applyFont="1" applyFill="1" applyBorder="1" applyAlignment="1" applyProtection="1">
      <alignment vertical="top" wrapText="1"/>
      <protection locked="0"/>
    </xf>
    <xf numFmtId="0" fontId="5" fillId="2" borderId="13" xfId="0" applyFont="1" applyFill="1" applyBorder="1" applyAlignment="1" applyProtection="1">
      <alignment vertical="top" wrapText="1"/>
      <protection locked="0"/>
    </xf>
    <xf numFmtId="0" fontId="5" fillId="2" borderId="30" xfId="0" applyFont="1" applyFill="1" applyBorder="1" applyAlignment="1" applyProtection="1">
      <alignment vertical="top" wrapText="1"/>
      <protection locked="0"/>
    </xf>
    <xf numFmtId="0" fontId="5" fillId="2" borderId="31" xfId="0" applyFont="1" applyFill="1" applyBorder="1" applyAlignment="1" applyProtection="1">
      <alignment vertical="top" wrapText="1"/>
      <protection locked="0"/>
    </xf>
    <xf numFmtId="0" fontId="5" fillId="2" borderId="29" xfId="0" applyFont="1" applyFill="1" applyBorder="1" applyAlignment="1" applyProtection="1">
      <alignment vertical="top" wrapText="1"/>
      <protection locked="0"/>
    </xf>
    <xf numFmtId="0" fontId="5" fillId="2" borderId="26" xfId="0" applyFont="1" applyFill="1" applyBorder="1" applyAlignment="1" applyProtection="1">
      <alignment vertical="top" wrapText="1"/>
      <protection locked="0"/>
    </xf>
    <xf numFmtId="0" fontId="5" fillId="2" borderId="27" xfId="0" applyFont="1" applyFill="1" applyBorder="1" applyAlignment="1" applyProtection="1">
      <alignment vertical="top" wrapText="1"/>
      <protection locked="0"/>
    </xf>
    <xf numFmtId="0" fontId="5" fillId="2" borderId="25" xfId="0" applyFont="1" applyFill="1" applyBorder="1" applyAlignment="1" applyProtection="1">
      <alignment vertical="top" wrapText="1"/>
      <protection locked="0"/>
    </xf>
    <xf numFmtId="0" fontId="5" fillId="2" borderId="7" xfId="0" applyFont="1" applyFill="1" applyBorder="1" applyAlignment="1" applyProtection="1">
      <alignment vertical="top" wrapText="1"/>
    </xf>
    <xf numFmtId="0" fontId="5" fillId="2" borderId="10" xfId="0" applyFont="1" applyFill="1" applyBorder="1" applyAlignment="1" applyProtection="1">
      <alignment vertical="top" wrapText="1"/>
    </xf>
    <xf numFmtId="0" fontId="5" fillId="2" borderId="8" xfId="0" applyFont="1" applyFill="1" applyBorder="1" applyAlignment="1" applyProtection="1">
      <alignment vertical="top" wrapText="1"/>
    </xf>
    <xf numFmtId="0" fontId="3" fillId="3" borderId="0" xfId="0" applyFont="1" applyFill="1" applyBorder="1" applyAlignment="1">
      <alignment horizontal="center" vertical="center" wrapText="1"/>
    </xf>
    <xf numFmtId="0" fontId="3" fillId="0" borderId="0" xfId="0" applyFont="1" applyBorder="1" applyAlignment="1">
      <alignment vertical="center" wrapText="1"/>
    </xf>
    <xf numFmtId="0" fontId="5" fillId="2" borderId="12" xfId="0" applyFont="1" applyFill="1" applyBorder="1" applyAlignment="1" applyProtection="1">
      <alignment vertical="top" wrapText="1"/>
    </xf>
    <xf numFmtId="0" fontId="5" fillId="2" borderId="14" xfId="0" applyFont="1" applyFill="1" applyBorder="1" applyAlignment="1" applyProtection="1">
      <alignment vertical="top" wrapText="1"/>
    </xf>
    <xf numFmtId="0" fontId="5" fillId="2" borderId="13" xfId="0" applyFont="1" applyFill="1" applyBorder="1" applyAlignment="1" applyProtection="1">
      <alignment vertical="top" wrapText="1"/>
    </xf>
    <xf numFmtId="0" fontId="0" fillId="0" borderId="7" xfId="0" applyBorder="1" applyAlignment="1">
      <alignment horizontal="center" vertical="top" wrapText="1"/>
    </xf>
    <xf numFmtId="0" fontId="0" fillId="0" borderId="10" xfId="0" applyBorder="1" applyAlignment="1">
      <alignment horizontal="center" vertical="top" wrapText="1"/>
    </xf>
    <xf numFmtId="0" fontId="0" fillId="0" borderId="8" xfId="0" applyBorder="1" applyAlignment="1">
      <alignment horizontal="center" vertical="top" wrapText="1"/>
    </xf>
    <xf numFmtId="0" fontId="0" fillId="0" borderId="12" xfId="0" applyBorder="1" applyAlignment="1">
      <alignment horizontal="center" vertical="top" wrapText="1"/>
    </xf>
    <xf numFmtId="0" fontId="0" fillId="0" borderId="14" xfId="0" applyBorder="1" applyAlignment="1">
      <alignment horizontal="center" vertical="top" wrapText="1"/>
    </xf>
    <xf numFmtId="0" fontId="0" fillId="0" borderId="13" xfId="0" applyBorder="1" applyAlignment="1">
      <alignment horizontal="center" vertical="top" wrapText="1"/>
    </xf>
    <xf numFmtId="0" fontId="0" fillId="0" borderId="26" xfId="0" applyBorder="1" applyAlignment="1">
      <alignment horizontal="center" vertical="top" wrapText="1"/>
    </xf>
    <xf numFmtId="0" fontId="0" fillId="0" borderId="27" xfId="0" applyBorder="1" applyAlignment="1">
      <alignment horizontal="center" vertical="top" wrapText="1"/>
    </xf>
    <xf numFmtId="0" fontId="0" fillId="0" borderId="25" xfId="0" applyBorder="1" applyAlignment="1">
      <alignment horizontal="center" vertical="top" wrapText="1"/>
    </xf>
    <xf numFmtId="0" fontId="21" fillId="2" borderId="17" xfId="0" applyFont="1" applyFill="1" applyBorder="1" applyAlignment="1" applyProtection="1">
      <alignment vertical="top" wrapText="1"/>
      <protection locked="0"/>
    </xf>
    <xf numFmtId="0" fontId="36" fillId="2" borderId="0" xfId="0" applyFont="1" applyFill="1"/>
    <xf numFmtId="0" fontId="37" fillId="2" borderId="0" xfId="0" applyFont="1" applyFill="1"/>
    <xf numFmtId="0" fontId="38" fillId="2" borderId="0" xfId="0" applyFont="1" applyFill="1"/>
    <xf numFmtId="0" fontId="38" fillId="2" borderId="0" xfId="0" applyFont="1" applyFill="1" applyBorder="1"/>
    <xf numFmtId="0" fontId="38" fillId="2" borderId="0" xfId="0" applyFont="1" applyFill="1" applyAlignment="1">
      <alignment horizontal="left"/>
    </xf>
    <xf numFmtId="0" fontId="36" fillId="2" borderId="2" xfId="0" applyFont="1" applyFill="1" applyBorder="1"/>
    <xf numFmtId="0" fontId="36" fillId="2" borderId="3" xfId="0" applyFont="1" applyFill="1" applyBorder="1"/>
    <xf numFmtId="0" fontId="37" fillId="2" borderId="3" xfId="0" applyFont="1" applyFill="1" applyBorder="1"/>
    <xf numFmtId="0" fontId="38" fillId="2" borderId="4" xfId="0" applyFont="1" applyFill="1" applyBorder="1"/>
    <xf numFmtId="0" fontId="39" fillId="2" borderId="5" xfId="0" applyFont="1" applyFill="1" applyBorder="1" applyAlignment="1">
      <alignment vertical="center"/>
    </xf>
    <xf numFmtId="0" fontId="39" fillId="2" borderId="0" xfId="0" applyFont="1" applyFill="1" applyBorder="1" applyAlignment="1">
      <alignment vertical="center"/>
    </xf>
    <xf numFmtId="0" fontId="39" fillId="2" borderId="0" xfId="0" applyFont="1" applyFill="1" applyBorder="1" applyAlignment="1">
      <alignment horizontal="center" vertical="center"/>
    </xf>
    <xf numFmtId="0" fontId="40" fillId="2" borderId="6" xfId="0" applyFont="1" applyFill="1" applyBorder="1" applyAlignment="1">
      <alignment vertical="center"/>
    </xf>
    <xf numFmtId="0" fontId="39" fillId="2" borderId="0" xfId="0" applyFont="1" applyFill="1" applyBorder="1" applyAlignment="1">
      <alignment horizontal="center" vertical="center"/>
    </xf>
    <xf numFmtId="0" fontId="41" fillId="2" borderId="0" xfId="0" applyFont="1" applyFill="1" applyBorder="1" applyAlignment="1">
      <alignment horizontal="right" vertical="center" wrapText="1"/>
    </xf>
    <xf numFmtId="0" fontId="42" fillId="0" borderId="51" xfId="0" applyFont="1" applyFill="1" applyBorder="1" applyAlignment="1">
      <alignment horizontal="left" vertical="top"/>
    </xf>
    <xf numFmtId="0" fontId="42" fillId="0" borderId="27" xfId="0" applyFont="1" applyFill="1" applyBorder="1" applyAlignment="1">
      <alignment horizontal="left" vertical="top"/>
    </xf>
    <xf numFmtId="0" fontId="42" fillId="0" borderId="54" xfId="0" applyFont="1" applyFill="1" applyBorder="1" applyAlignment="1">
      <alignment horizontal="left" vertical="top"/>
    </xf>
    <xf numFmtId="0" fontId="41" fillId="2" borderId="0" xfId="0" applyFont="1" applyFill="1" applyBorder="1" applyAlignment="1">
      <alignment vertical="top" wrapText="1"/>
    </xf>
    <xf numFmtId="0" fontId="41" fillId="7" borderId="42" xfId="0" applyFont="1" applyFill="1" applyBorder="1" applyAlignment="1">
      <alignment horizontal="left" vertical="top"/>
    </xf>
    <xf numFmtId="0" fontId="41" fillId="7" borderId="10" xfId="0" applyFont="1" applyFill="1" applyBorder="1" applyAlignment="1">
      <alignment horizontal="left" vertical="top"/>
    </xf>
    <xf numFmtId="0" fontId="41" fillId="7" borderId="20" xfId="0" applyFont="1" applyFill="1" applyBorder="1" applyAlignment="1">
      <alignment horizontal="left" vertical="top"/>
    </xf>
    <xf numFmtId="0" fontId="41" fillId="2" borderId="0" xfId="0" applyFont="1" applyFill="1" applyBorder="1" applyAlignment="1">
      <alignment horizontal="left" vertical="top"/>
    </xf>
    <xf numFmtId="0" fontId="41" fillId="0" borderId="42" xfId="0" applyFont="1" applyFill="1" applyBorder="1" applyAlignment="1">
      <alignment horizontal="left" vertical="top"/>
    </xf>
    <xf numFmtId="0" fontId="41" fillId="0" borderId="10" xfId="0" applyFont="1" applyFill="1" applyBorder="1" applyAlignment="1">
      <alignment horizontal="left" vertical="top"/>
    </xf>
    <xf numFmtId="0" fontId="41" fillId="0" borderId="20" xfId="0" applyFont="1" applyFill="1" applyBorder="1" applyAlignment="1">
      <alignment horizontal="left" vertical="top"/>
    </xf>
    <xf numFmtId="0" fontId="36" fillId="2" borderId="5" xfId="0" applyFont="1" applyFill="1" applyBorder="1"/>
    <xf numFmtId="0" fontId="41" fillId="0" borderId="45" xfId="0" applyFont="1" applyFill="1" applyBorder="1" applyAlignment="1">
      <alignment horizontal="left" vertical="top"/>
    </xf>
    <xf numFmtId="0" fontId="41" fillId="0" borderId="31" xfId="0" applyFont="1" applyFill="1" applyBorder="1" applyAlignment="1">
      <alignment horizontal="left" vertical="top"/>
    </xf>
    <xf numFmtId="0" fontId="41" fillId="0" borderId="55" xfId="0" applyFont="1" applyFill="1" applyBorder="1" applyAlignment="1">
      <alignment horizontal="left" vertical="top"/>
    </xf>
    <xf numFmtId="0" fontId="43" fillId="2" borderId="0" xfId="0" applyFont="1" applyFill="1" applyBorder="1" applyAlignment="1">
      <alignment horizontal="center"/>
    </xf>
    <xf numFmtId="0" fontId="38" fillId="2" borderId="6" xfId="0" applyFont="1" applyFill="1" applyBorder="1"/>
    <xf numFmtId="0" fontId="44" fillId="5" borderId="36" xfId="0" applyFont="1" applyFill="1" applyBorder="1" applyAlignment="1">
      <alignment horizontal="center" vertical="center"/>
    </xf>
    <xf numFmtId="0" fontId="44" fillId="5" borderId="37" xfId="0" applyFont="1" applyFill="1" applyBorder="1" applyAlignment="1">
      <alignment horizontal="center" vertical="center"/>
    </xf>
    <xf numFmtId="0" fontId="44" fillId="5" borderId="38" xfId="0" applyFont="1" applyFill="1" applyBorder="1" applyAlignment="1">
      <alignment horizontal="center" vertical="center"/>
    </xf>
    <xf numFmtId="0" fontId="45" fillId="2" borderId="0" xfId="0" applyFont="1" applyFill="1" applyBorder="1" applyAlignment="1"/>
    <xf numFmtId="0" fontId="46" fillId="2" borderId="6" xfId="0" applyFont="1" applyFill="1" applyBorder="1" applyAlignment="1"/>
    <xf numFmtId="0" fontId="46" fillId="2" borderId="0" xfId="0" applyFont="1" applyFill="1" applyBorder="1" applyAlignment="1"/>
    <xf numFmtId="0" fontId="36" fillId="0" borderId="0" xfId="0" applyFont="1"/>
    <xf numFmtId="0" fontId="47" fillId="6" borderId="52" xfId="2" applyFont="1" applyFill="1" applyBorder="1" applyAlignment="1">
      <alignment horizontal="center"/>
    </xf>
    <xf numFmtId="0" fontId="47" fillId="7" borderId="37" xfId="2" applyFont="1" applyFill="1" applyBorder="1" applyAlignment="1">
      <alignment horizontal="center"/>
    </xf>
    <xf numFmtId="0" fontId="47" fillId="7" borderId="38" xfId="2" applyFont="1" applyFill="1" applyBorder="1" applyAlignment="1">
      <alignment horizontal="center"/>
    </xf>
    <xf numFmtId="0" fontId="47" fillId="7" borderId="2" xfId="2" applyFont="1" applyFill="1" applyBorder="1" applyAlignment="1">
      <alignment horizontal="center"/>
    </xf>
    <xf numFmtId="0" fontId="47" fillId="7" borderId="3" xfId="2" applyFont="1" applyFill="1" applyBorder="1" applyAlignment="1">
      <alignment horizontal="center"/>
    </xf>
    <xf numFmtId="0" fontId="47" fillId="7" borderId="4" xfId="2" applyFont="1" applyFill="1" applyBorder="1" applyAlignment="1">
      <alignment horizontal="center"/>
    </xf>
    <xf numFmtId="0" fontId="48" fillId="2" borderId="0" xfId="2" applyFont="1" applyFill="1" applyBorder="1" applyAlignment="1">
      <alignment horizontal="center"/>
    </xf>
    <xf numFmtId="0" fontId="49" fillId="2" borderId="6" xfId="2" applyFont="1" applyFill="1" applyBorder="1" applyAlignment="1">
      <alignment horizontal="center"/>
    </xf>
    <xf numFmtId="0" fontId="50" fillId="2" borderId="0" xfId="2" applyFont="1" applyFill="1" applyBorder="1" applyAlignment="1">
      <alignment horizontal="center" vertical="center"/>
    </xf>
    <xf numFmtId="0" fontId="50" fillId="2" borderId="0" xfId="2" applyFont="1" applyFill="1" applyBorder="1" applyAlignment="1">
      <alignment horizontal="center"/>
    </xf>
    <xf numFmtId="0" fontId="51" fillId="2" borderId="18" xfId="0" applyFont="1" applyFill="1" applyBorder="1" applyAlignment="1">
      <alignment horizontal="center"/>
    </xf>
    <xf numFmtId="0" fontId="47" fillId="6" borderId="56" xfId="2" applyFont="1" applyFill="1" applyBorder="1" applyAlignment="1">
      <alignment horizontal="center"/>
    </xf>
    <xf numFmtId="0" fontId="52" fillId="6" borderId="4" xfId="2" applyFont="1" applyFill="1" applyBorder="1" applyAlignment="1"/>
    <xf numFmtId="0" fontId="52" fillId="6" borderId="32" xfId="2" applyFont="1" applyFill="1" applyBorder="1" applyAlignment="1"/>
    <xf numFmtId="0" fontId="52" fillId="0" borderId="38" xfId="0" applyFont="1" applyBorder="1"/>
    <xf numFmtId="0" fontId="52" fillId="0" borderId="37" xfId="0" applyFont="1" applyBorder="1" applyAlignment="1">
      <alignment horizontal="center"/>
    </xf>
    <xf numFmtId="0" fontId="52" fillId="6" borderId="40" xfId="2" applyFont="1" applyFill="1" applyBorder="1" applyAlignment="1"/>
    <xf numFmtId="0" fontId="52" fillId="0" borderId="41" xfId="0" applyFont="1" applyBorder="1"/>
    <xf numFmtId="0" fontId="53" fillId="2" borderId="0" xfId="0" applyFont="1" applyFill="1" applyBorder="1" applyAlignment="1">
      <alignment horizontal="left"/>
    </xf>
    <xf numFmtId="0" fontId="54" fillId="2" borderId="0" xfId="0" applyFont="1" applyFill="1" applyBorder="1"/>
    <xf numFmtId="0" fontId="55" fillId="2" borderId="6" xfId="0" applyFont="1" applyFill="1" applyBorder="1"/>
    <xf numFmtId="0" fontId="56" fillId="2" borderId="10" xfId="0" applyFont="1" applyFill="1" applyBorder="1"/>
    <xf numFmtId="0" fontId="56" fillId="2" borderId="8" xfId="0" applyFont="1" applyFill="1" applyBorder="1"/>
    <xf numFmtId="0" fontId="56" fillId="2" borderId="0" xfId="0" applyFont="1" applyFill="1" applyBorder="1"/>
    <xf numFmtId="0" fontId="56" fillId="2" borderId="9" xfId="2" applyFont="1" applyFill="1" applyBorder="1" applyAlignment="1"/>
    <xf numFmtId="0" fontId="57" fillId="2" borderId="53" xfId="2" applyFont="1" applyFill="1" applyBorder="1" applyAlignment="1">
      <alignment horizontal="left"/>
    </xf>
    <xf numFmtId="0" fontId="57" fillId="2" borderId="8" xfId="0" applyNumberFormat="1" applyFont="1" applyFill="1" applyBorder="1" applyAlignment="1">
      <alignment horizontal="right"/>
    </xf>
    <xf numFmtId="0" fontId="57" fillId="2" borderId="9" xfId="0" applyNumberFormat="1" applyFont="1" applyFill="1" applyBorder="1" applyAlignment="1">
      <alignment horizontal="right"/>
    </xf>
    <xf numFmtId="9" fontId="57" fillId="2" borderId="43" xfId="0" applyNumberFormat="1" applyFont="1" applyFill="1" applyBorder="1" applyAlignment="1">
      <alignment horizontal="right"/>
    </xf>
    <xf numFmtId="0" fontId="57" fillId="2" borderId="42" xfId="2" applyFont="1" applyFill="1" applyBorder="1" applyAlignment="1">
      <alignment horizontal="right" vertical="center"/>
    </xf>
    <xf numFmtId="0" fontId="57" fillId="2" borderId="9" xfId="2" applyFont="1" applyFill="1" applyBorder="1" applyAlignment="1">
      <alignment horizontal="right"/>
    </xf>
    <xf numFmtId="9" fontId="57" fillId="2" borderId="44" xfId="2" applyNumberFormat="1" applyFont="1" applyFill="1" applyBorder="1" applyAlignment="1">
      <alignment horizontal="right"/>
    </xf>
    <xf numFmtId="0" fontId="57" fillId="2" borderId="18" xfId="0" applyNumberFormat="1" applyFont="1" applyFill="1" applyBorder="1" applyAlignment="1">
      <alignment horizontal="right"/>
    </xf>
    <xf numFmtId="9" fontId="57" fillId="2" borderId="43" xfId="2" applyNumberFormat="1" applyFont="1" applyFill="1" applyBorder="1" applyAlignment="1">
      <alignment horizontal="right"/>
    </xf>
    <xf numFmtId="9" fontId="53" fillId="2" borderId="0" xfId="2" applyNumberFormat="1" applyFont="1" applyFill="1" applyBorder="1" applyAlignment="1">
      <alignment horizontal="left"/>
    </xf>
    <xf numFmtId="9" fontId="45" fillId="2" borderId="0" xfId="2" applyNumberFormat="1" applyFont="1" applyFill="1" applyBorder="1" applyAlignment="1">
      <alignment horizontal="right"/>
    </xf>
    <xf numFmtId="9" fontId="58" fillId="2" borderId="6" xfId="2" applyNumberFormat="1" applyFont="1" applyFill="1" applyBorder="1" applyAlignment="1">
      <alignment horizontal="right"/>
    </xf>
    <xf numFmtId="0" fontId="46" fillId="2" borderId="0" xfId="2" applyNumberFormat="1" applyFont="1" applyFill="1" applyBorder="1" applyAlignment="1">
      <alignment horizontal="right"/>
    </xf>
    <xf numFmtId="0" fontId="46" fillId="2" borderId="0" xfId="2" applyFont="1" applyFill="1" applyBorder="1" applyAlignment="1">
      <alignment horizontal="right"/>
    </xf>
    <xf numFmtId="0" fontId="38" fillId="2" borderId="0" xfId="0" applyNumberFormat="1" applyFont="1" applyFill="1" applyAlignment="1">
      <alignment horizontal="left"/>
    </xf>
    <xf numFmtId="0" fontId="46" fillId="2" borderId="0" xfId="2" applyNumberFormat="1" applyFont="1" applyFill="1" applyBorder="1" applyAlignment="1">
      <alignment horizontal="left"/>
    </xf>
    <xf numFmtId="9" fontId="57" fillId="2" borderId="44" xfId="0" applyNumberFormat="1" applyFont="1" applyFill="1" applyBorder="1" applyAlignment="1">
      <alignment horizontal="right"/>
    </xf>
    <xf numFmtId="9" fontId="57" fillId="2" borderId="7" xfId="0" applyNumberFormat="1" applyFont="1" applyFill="1" applyBorder="1" applyAlignment="1">
      <alignment horizontal="right"/>
    </xf>
    <xf numFmtId="0" fontId="57" fillId="2" borderId="11" xfId="0" applyFont="1" applyFill="1" applyBorder="1" applyAlignment="1">
      <alignment horizontal="right"/>
    </xf>
    <xf numFmtId="0" fontId="57" fillId="2" borderId="10" xfId="2" applyFont="1" applyFill="1" applyBorder="1" applyAlignment="1">
      <alignment horizontal="right" vertical="center"/>
    </xf>
    <xf numFmtId="0" fontId="57" fillId="2" borderId="9" xfId="0" applyFont="1" applyFill="1" applyBorder="1" applyAlignment="1">
      <alignment horizontal="right"/>
    </xf>
    <xf numFmtId="9" fontId="45" fillId="2" borderId="0" xfId="0" applyNumberFormat="1" applyFont="1" applyFill="1" applyBorder="1" applyAlignment="1">
      <alignment horizontal="right"/>
    </xf>
    <xf numFmtId="9" fontId="58" fillId="2" borderId="6" xfId="0" applyNumberFormat="1" applyFont="1" applyFill="1" applyBorder="1" applyAlignment="1">
      <alignment horizontal="right"/>
    </xf>
    <xf numFmtId="0" fontId="46" fillId="2" borderId="0" xfId="0" applyFont="1" applyFill="1" applyBorder="1" applyAlignment="1">
      <alignment horizontal="right"/>
    </xf>
    <xf numFmtId="0" fontId="57" fillId="2" borderId="8" xfId="0" applyFont="1" applyFill="1" applyBorder="1" applyAlignment="1">
      <alignment horizontal="right"/>
    </xf>
    <xf numFmtId="0" fontId="57" fillId="2" borderId="57" xfId="2" applyFont="1" applyFill="1" applyBorder="1" applyAlignment="1">
      <alignment horizontal="left"/>
    </xf>
    <xf numFmtId="0" fontId="57" fillId="2" borderId="31" xfId="2" applyFont="1" applyFill="1" applyBorder="1" applyAlignment="1">
      <alignment horizontal="right" vertical="center"/>
    </xf>
    <xf numFmtId="0" fontId="57" fillId="2" borderId="35" xfId="2" applyFont="1" applyFill="1" applyBorder="1" applyAlignment="1">
      <alignment horizontal="right"/>
    </xf>
    <xf numFmtId="9" fontId="57" fillId="2" borderId="46" xfId="0" applyNumberFormat="1" applyFont="1" applyFill="1" applyBorder="1" applyAlignment="1">
      <alignment horizontal="right"/>
    </xf>
    <xf numFmtId="0" fontId="57" fillId="2" borderId="45" xfId="0" applyNumberFormat="1" applyFont="1" applyFill="1" applyBorder="1" applyAlignment="1">
      <alignment horizontal="right"/>
    </xf>
    <xf numFmtId="1" fontId="57" fillId="2" borderId="31" xfId="0" applyNumberFormat="1" applyFont="1" applyFill="1" applyBorder="1" applyAlignment="1">
      <alignment horizontal="right"/>
    </xf>
    <xf numFmtId="9" fontId="57" fillId="2" borderId="31" xfId="0" applyNumberFormat="1" applyFont="1" applyFill="1" applyBorder="1" applyAlignment="1">
      <alignment horizontal="right"/>
    </xf>
    <xf numFmtId="0" fontId="46" fillId="2" borderId="0" xfId="2" applyFont="1" applyFill="1" applyBorder="1" applyAlignment="1">
      <alignment horizontal="left"/>
    </xf>
    <xf numFmtId="0" fontId="46" fillId="2" borderId="0" xfId="2" applyFont="1" applyFill="1" applyBorder="1" applyAlignment="1">
      <alignment horizontal="right" vertical="center"/>
    </xf>
    <xf numFmtId="9" fontId="46" fillId="2" borderId="0" xfId="0" applyNumberFormat="1" applyFont="1" applyFill="1" applyBorder="1" applyAlignment="1">
      <alignment horizontal="right"/>
    </xf>
    <xf numFmtId="0" fontId="58" fillId="2" borderId="6" xfId="0" applyNumberFormat="1" applyFont="1" applyFill="1" applyBorder="1" applyAlignment="1">
      <alignment horizontal="right"/>
    </xf>
    <xf numFmtId="1" fontId="46" fillId="2" borderId="0" xfId="2" applyNumberFormat="1" applyFont="1" applyFill="1" applyBorder="1" applyAlignment="1">
      <alignment horizontal="left"/>
    </xf>
    <xf numFmtId="0" fontId="59" fillId="7" borderId="24" xfId="2" applyFont="1" applyFill="1" applyBorder="1" applyAlignment="1"/>
    <xf numFmtId="9" fontId="57" fillId="2" borderId="26" xfId="2" applyNumberFormat="1" applyFont="1" applyFill="1" applyBorder="1" applyAlignment="1">
      <alignment horizontal="center" vertical="center"/>
    </xf>
    <xf numFmtId="9" fontId="57" fillId="2" borderId="27" xfId="2" applyNumberFormat="1" applyFont="1" applyFill="1" applyBorder="1" applyAlignment="1">
      <alignment horizontal="center" vertical="center"/>
    </xf>
    <xf numFmtId="9" fontId="57" fillId="2" borderId="25" xfId="2" applyNumberFormat="1" applyFont="1" applyFill="1" applyBorder="1" applyAlignment="1">
      <alignment horizontal="center" vertical="center"/>
    </xf>
    <xf numFmtId="9" fontId="45" fillId="2" borderId="0" xfId="2" applyNumberFormat="1" applyFont="1" applyFill="1" applyBorder="1" applyAlignment="1">
      <alignment horizontal="center" vertical="center"/>
    </xf>
    <xf numFmtId="9" fontId="58" fillId="2" borderId="6" xfId="2" applyNumberFormat="1" applyFont="1" applyFill="1" applyBorder="1" applyAlignment="1">
      <alignment vertical="center"/>
    </xf>
    <xf numFmtId="0" fontId="46" fillId="2" borderId="0" xfId="2" applyNumberFormat="1" applyFont="1" applyFill="1" applyBorder="1" applyAlignment="1">
      <alignment vertical="center"/>
    </xf>
    <xf numFmtId="0" fontId="59" fillId="7" borderId="11" xfId="2" applyFont="1" applyFill="1" applyBorder="1" applyAlignment="1">
      <alignment vertical="top"/>
    </xf>
    <xf numFmtId="9" fontId="57" fillId="2" borderId="7" xfId="2" applyNumberFormat="1" applyFont="1" applyFill="1" applyBorder="1" applyAlignment="1">
      <alignment horizontal="center" vertical="center"/>
    </xf>
    <xf numFmtId="9" fontId="57" fillId="2" borderId="10" xfId="2" applyNumberFormat="1" applyFont="1" applyFill="1" applyBorder="1" applyAlignment="1">
      <alignment horizontal="center" vertical="center"/>
    </xf>
    <xf numFmtId="9" fontId="57" fillId="2" borderId="8" xfId="2" applyNumberFormat="1" applyFont="1" applyFill="1" applyBorder="1" applyAlignment="1">
      <alignment horizontal="center" vertical="center"/>
    </xf>
    <xf numFmtId="0" fontId="59" fillId="7" borderId="28" xfId="2" applyFont="1" applyFill="1" applyBorder="1" applyAlignment="1">
      <alignment vertical="top" wrapText="1"/>
    </xf>
    <xf numFmtId="9" fontId="57" fillId="2" borderId="30" xfId="2" applyNumberFormat="1" applyFont="1" applyFill="1" applyBorder="1" applyAlignment="1">
      <alignment horizontal="center" vertical="center"/>
    </xf>
    <xf numFmtId="9" fontId="57" fillId="2" borderId="31" xfId="2" applyNumberFormat="1" applyFont="1" applyFill="1" applyBorder="1" applyAlignment="1">
      <alignment horizontal="center" vertical="center"/>
    </xf>
    <xf numFmtId="9" fontId="57" fillId="2" borderId="29" xfId="2" applyNumberFormat="1" applyFont="1" applyFill="1" applyBorder="1" applyAlignment="1">
      <alignment horizontal="center" vertical="center"/>
    </xf>
    <xf numFmtId="0" fontId="46" fillId="2" borderId="6" xfId="2" applyFont="1" applyFill="1" applyBorder="1" applyAlignment="1">
      <alignment vertical="center"/>
    </xf>
    <xf numFmtId="0" fontId="46" fillId="2" borderId="0" xfId="2" applyFont="1" applyFill="1" applyBorder="1" applyAlignment="1"/>
    <xf numFmtId="0" fontId="46" fillId="2" borderId="0" xfId="2" applyNumberFormat="1" applyFont="1" applyFill="1" applyBorder="1" applyAlignment="1">
      <alignment horizontal="center" vertical="center"/>
    </xf>
    <xf numFmtId="0" fontId="46" fillId="2" borderId="0" xfId="2" applyNumberFormat="1" applyFont="1" applyFill="1" applyBorder="1" applyAlignment="1">
      <alignment horizontal="center" vertical="center"/>
    </xf>
    <xf numFmtId="0" fontId="46" fillId="2" borderId="6" xfId="0" applyFont="1" applyFill="1" applyBorder="1" applyAlignment="1">
      <alignment horizontal="right"/>
    </xf>
    <xf numFmtId="0" fontId="46" fillId="2" borderId="0" xfId="0" applyNumberFormat="1" applyFont="1" applyFill="1" applyBorder="1" applyAlignment="1">
      <alignment horizontal="right"/>
    </xf>
    <xf numFmtId="0" fontId="59" fillId="7" borderId="40" xfId="2" applyFont="1" applyFill="1" applyBorder="1" applyAlignment="1">
      <alignment vertical="center"/>
    </xf>
    <xf numFmtId="9" fontId="57" fillId="2" borderId="47" xfId="2" applyNumberFormat="1" applyFont="1" applyFill="1" applyBorder="1" applyAlignment="1">
      <alignment horizontal="center" vertical="center"/>
    </xf>
    <xf numFmtId="9" fontId="57" fillId="2" borderId="37" xfId="2" applyNumberFormat="1" applyFont="1" applyFill="1" applyBorder="1" applyAlignment="1">
      <alignment horizontal="center" vertical="center"/>
    </xf>
    <xf numFmtId="9" fontId="57" fillId="2" borderId="39" xfId="2" applyNumberFormat="1" applyFont="1" applyFill="1" applyBorder="1" applyAlignment="1">
      <alignment horizontal="center" vertical="center"/>
    </xf>
    <xf numFmtId="9" fontId="57" fillId="2" borderId="38" xfId="2" applyNumberFormat="1" applyFont="1" applyFill="1" applyBorder="1" applyAlignment="1">
      <alignment horizontal="center" vertical="center"/>
    </xf>
    <xf numFmtId="0" fontId="58" fillId="2" borderId="6" xfId="0" applyFont="1" applyFill="1" applyBorder="1" applyAlignment="1">
      <alignment horizontal="right"/>
    </xf>
    <xf numFmtId="0" fontId="58" fillId="2" borderId="0" xfId="0" applyNumberFormat="1" applyFont="1" applyFill="1" applyBorder="1" applyAlignment="1">
      <alignment horizontal="right"/>
    </xf>
    <xf numFmtId="0" fontId="58" fillId="2" borderId="0" xfId="0" applyFont="1" applyFill="1" applyBorder="1" applyAlignment="1">
      <alignment horizontal="right"/>
    </xf>
    <xf numFmtId="0" fontId="60" fillId="2" borderId="0" xfId="0" applyFont="1" applyFill="1" applyAlignment="1">
      <alignment horizontal="left"/>
    </xf>
    <xf numFmtId="0" fontId="60" fillId="2" borderId="0" xfId="0" applyFont="1" applyFill="1"/>
    <xf numFmtId="0" fontId="36" fillId="2" borderId="0" xfId="0" applyFont="1" applyFill="1" applyBorder="1"/>
    <xf numFmtId="0" fontId="37" fillId="2" borderId="0" xfId="0" applyFont="1" applyFill="1" applyBorder="1"/>
    <xf numFmtId="0" fontId="60" fillId="2" borderId="6" xfId="0" applyFont="1" applyFill="1" applyBorder="1"/>
    <xf numFmtId="0" fontId="60" fillId="2" borderId="0" xfId="0" applyFont="1" applyFill="1" applyBorder="1"/>
    <xf numFmtId="0" fontId="47" fillId="7" borderId="7" xfId="0" applyFont="1" applyFill="1" applyBorder="1" applyAlignment="1">
      <alignment horizontal="left"/>
    </xf>
    <xf numFmtId="0" fontId="47" fillId="7" borderId="10" xfId="0" applyFont="1" applyFill="1" applyBorder="1" applyAlignment="1">
      <alignment horizontal="left"/>
    </xf>
    <xf numFmtId="0" fontId="47" fillId="7" borderId="8" xfId="0" applyFont="1" applyFill="1" applyBorder="1" applyAlignment="1">
      <alignment horizontal="left"/>
    </xf>
    <xf numFmtId="0" fontId="48" fillId="2" borderId="0" xfId="0" applyFont="1" applyFill="1" applyBorder="1" applyAlignment="1">
      <alignment horizontal="left"/>
    </xf>
    <xf numFmtId="0" fontId="50" fillId="2" borderId="6" xfId="0" applyFont="1" applyFill="1" applyBorder="1" applyAlignment="1">
      <alignment horizontal="left"/>
    </xf>
    <xf numFmtId="0" fontId="50" fillId="2" borderId="0" xfId="0" applyFont="1" applyFill="1" applyBorder="1" applyAlignment="1">
      <alignment horizontal="left"/>
    </xf>
    <xf numFmtId="0" fontId="36" fillId="2" borderId="9" xfId="0" applyFont="1" applyFill="1" applyBorder="1" applyAlignment="1"/>
    <xf numFmtId="9" fontId="57" fillId="2" borderId="7" xfId="0" applyNumberFormat="1" applyFont="1" applyFill="1" applyBorder="1" applyAlignment="1">
      <alignment horizontal="center"/>
    </xf>
    <xf numFmtId="9" fontId="57" fillId="2" borderId="10" xfId="0" applyNumberFormat="1" applyFont="1" applyFill="1" applyBorder="1" applyAlignment="1">
      <alignment horizontal="center"/>
    </xf>
    <xf numFmtId="9" fontId="57" fillId="2" borderId="8" xfId="0" applyNumberFormat="1" applyFont="1" applyFill="1" applyBorder="1" applyAlignment="1">
      <alignment horizontal="center"/>
    </xf>
    <xf numFmtId="9" fontId="45" fillId="2" borderId="0" xfId="0" applyNumberFormat="1" applyFont="1" applyFill="1" applyBorder="1" applyAlignment="1">
      <alignment horizontal="center"/>
    </xf>
    <xf numFmtId="9" fontId="46" fillId="2" borderId="6" xfId="0" applyNumberFormat="1" applyFont="1" applyFill="1" applyBorder="1" applyAlignment="1">
      <alignment horizontal="center"/>
    </xf>
    <xf numFmtId="9" fontId="46" fillId="2" borderId="0" xfId="0" applyNumberFormat="1" applyFont="1" applyFill="1" applyBorder="1" applyAlignment="1">
      <alignment horizontal="center"/>
    </xf>
    <xf numFmtId="0" fontId="57" fillId="2" borderId="9" xfId="0" applyFont="1" applyFill="1" applyBorder="1" applyAlignment="1"/>
    <xf numFmtId="0" fontId="45" fillId="2" borderId="0" xfId="0" applyFont="1" applyFill="1" applyBorder="1" applyAlignment="1">
      <alignment horizontal="center"/>
    </xf>
    <xf numFmtId="0" fontId="46" fillId="2" borderId="6" xfId="0" applyFont="1" applyFill="1" applyBorder="1" applyAlignment="1">
      <alignment horizontal="center"/>
    </xf>
    <xf numFmtId="0" fontId="46" fillId="2" borderId="0" xfId="0" applyFont="1" applyFill="1" applyBorder="1" applyAlignment="1">
      <alignment horizontal="center"/>
    </xf>
    <xf numFmtId="0" fontId="36" fillId="2" borderId="21" xfId="0" applyFont="1" applyFill="1" applyBorder="1"/>
    <xf numFmtId="0" fontId="36" fillId="2" borderId="22" xfId="0" applyFont="1" applyFill="1" applyBorder="1"/>
    <xf numFmtId="0" fontId="37" fillId="2" borderId="22" xfId="0" applyFont="1" applyFill="1" applyBorder="1"/>
    <xf numFmtId="0" fontId="38" fillId="2" borderId="23" xfId="0" applyFont="1" applyFill="1" applyBorder="1"/>
  </cellXfs>
  <cellStyles count="3">
    <cellStyle name="Heading 1" xfId="2" builtinId="16"/>
    <cellStyle name="Normal" xfId="0" builtinId="0"/>
    <cellStyle name="Percent" xfId="1" builtinId="5"/>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78937836065718"/>
          <c:y val="0.16303661400250888"/>
          <c:w val="0.77787729658792648"/>
          <c:h val="0.60067451745522948"/>
        </c:manualLayout>
      </c:layout>
      <c:barChart>
        <c:barDir val="col"/>
        <c:grouping val="stacked"/>
        <c:varyColors val="0"/>
        <c:ser>
          <c:idx val="0"/>
          <c:order val="0"/>
          <c:tx>
            <c:strRef>
              <c:f>Dashboard!$C$25</c:f>
              <c:strCache>
                <c:ptCount val="1"/>
                <c:pt idx="0">
                  <c:v>Advisors achieving 95% or above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Dashboard!$D$10:$O$10</c15:sqref>
                  </c15:fullRef>
                </c:ext>
              </c:extLst>
              <c:f>(Dashboard!$D$10,Dashboard!$G$10,Dashboard!$J$10,Dashboard!$M$10)</c:f>
              <c:strCache>
                <c:ptCount val="4"/>
                <c:pt idx="0">
                  <c:v>Week 1</c:v>
                </c:pt>
                <c:pt idx="1">
                  <c:v>Week 2</c:v>
                </c:pt>
                <c:pt idx="2">
                  <c:v>Week 3</c:v>
                </c:pt>
                <c:pt idx="3">
                  <c:v>Week 4</c:v>
                </c:pt>
              </c:strCache>
            </c:strRef>
          </c:cat>
          <c:val>
            <c:numRef>
              <c:extLst>
                <c:ext xmlns:c15="http://schemas.microsoft.com/office/drawing/2012/chart" uri="{02D57815-91ED-43cb-92C2-25804820EDAC}">
                  <c15:fullRef>
                    <c15:sqref>Dashboard!$D$25:$O$25</c15:sqref>
                  </c15:fullRef>
                </c:ext>
              </c:extLst>
              <c:f>(Dashboard!$D$25,Dashboard!$G$25,Dashboard!$J$25,Dashboard!$M$25)</c:f>
              <c:numCache>
                <c:formatCode>0%</c:formatCode>
                <c:ptCount val="4"/>
                <c:pt idx="0">
                  <c:v>0</c:v>
                </c:pt>
                <c:pt idx="1">
                  <c:v>0.625</c:v>
                </c:pt>
                <c:pt idx="2">
                  <c:v>0</c:v>
                </c:pt>
                <c:pt idx="3">
                  <c:v>0</c:v>
                </c:pt>
              </c:numCache>
            </c:numRef>
          </c:val>
        </c:ser>
        <c:ser>
          <c:idx val="1"/>
          <c:order val="1"/>
          <c:tx>
            <c:strRef>
              <c:f>Dashboard!$C$26</c:f>
              <c:strCache>
                <c:ptCount val="1"/>
                <c:pt idx="0">
                  <c:v>Advisors achieving below 95%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Dashboard!$D$10:$O$10</c15:sqref>
                  </c15:fullRef>
                </c:ext>
              </c:extLst>
              <c:f>(Dashboard!$D$10,Dashboard!$G$10,Dashboard!$J$10,Dashboard!$M$10)</c:f>
              <c:strCache>
                <c:ptCount val="4"/>
                <c:pt idx="0">
                  <c:v>Week 1</c:v>
                </c:pt>
                <c:pt idx="1">
                  <c:v>Week 2</c:v>
                </c:pt>
                <c:pt idx="2">
                  <c:v>Week 3</c:v>
                </c:pt>
                <c:pt idx="3">
                  <c:v>Week 4</c:v>
                </c:pt>
              </c:strCache>
            </c:strRef>
          </c:cat>
          <c:val>
            <c:numRef>
              <c:extLst>
                <c:ext xmlns:c15="http://schemas.microsoft.com/office/drawing/2012/chart" uri="{02D57815-91ED-43cb-92C2-25804820EDAC}">
                  <c15:fullRef>
                    <c15:sqref>Dashboard!$D$26:$O$26</c15:sqref>
                  </c15:fullRef>
                </c:ext>
              </c:extLst>
              <c:f>(Dashboard!$D$26,Dashboard!$G$26,Dashboard!$J$26,Dashboard!$M$26)</c:f>
              <c:numCache>
                <c:formatCode>0%</c:formatCode>
                <c:ptCount val="4"/>
                <c:pt idx="0">
                  <c:v>0</c:v>
                </c:pt>
                <c:pt idx="1">
                  <c:v>0.375</c:v>
                </c:pt>
                <c:pt idx="2">
                  <c:v>0</c:v>
                </c:pt>
                <c:pt idx="3">
                  <c:v>0</c:v>
                </c:pt>
              </c:numCache>
            </c:numRef>
          </c:val>
        </c:ser>
        <c:dLbls>
          <c:showLegendKey val="0"/>
          <c:showVal val="0"/>
          <c:showCatName val="0"/>
          <c:showSerName val="0"/>
          <c:showPercent val="0"/>
          <c:showBubbleSize val="0"/>
        </c:dLbls>
        <c:gapWidth val="150"/>
        <c:overlap val="100"/>
        <c:axId val="185046912"/>
        <c:axId val="185047472"/>
      </c:barChart>
      <c:catAx>
        <c:axId val="1850469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5047472"/>
        <c:crosses val="autoZero"/>
        <c:auto val="1"/>
        <c:lblAlgn val="ctr"/>
        <c:lblOffset val="100"/>
        <c:noMultiLvlLbl val="0"/>
      </c:catAx>
      <c:valAx>
        <c:axId val="18504747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5046912"/>
        <c:crosses val="autoZero"/>
        <c:crossBetween val="between"/>
      </c:valAx>
      <c:spPr>
        <a:noFill/>
        <a:ln>
          <a:noFill/>
        </a:ln>
        <a:effectLst/>
      </c:spPr>
    </c:plotArea>
    <c:legend>
      <c:legendPos val="b"/>
      <c:layout>
        <c:manualLayout>
          <c:xMode val="edge"/>
          <c:yMode val="edge"/>
          <c:x val="4.1737544810655589E-3"/>
          <c:y val="0.85909041905733718"/>
          <c:w val="0.97611487846800304"/>
          <c:h val="0.10050549574310165"/>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84348522805479"/>
          <c:y val="0.10912892552801771"/>
          <c:w val="0.87552261214214733"/>
          <c:h val="0.64768887135718034"/>
        </c:manualLayout>
      </c:layout>
      <c:lineChart>
        <c:grouping val="standard"/>
        <c:varyColors val="0"/>
        <c:ser>
          <c:idx val="0"/>
          <c:order val="0"/>
          <c:tx>
            <c:strRef>
              <c:f>Dashboard!$C$28</c:f>
              <c:strCache>
                <c:ptCount val="1"/>
                <c:pt idx="0">
                  <c:v>Weekly minimum QC achieved</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Dashboard!$D$10:$O$10</c15:sqref>
                  </c15:fullRef>
                </c:ext>
              </c:extLst>
              <c:f>(Dashboard!$D$10,Dashboard!$G$10,Dashboard!$J$10,Dashboard!$M$10)</c:f>
              <c:strCache>
                <c:ptCount val="4"/>
                <c:pt idx="0">
                  <c:v>Week 1</c:v>
                </c:pt>
                <c:pt idx="1">
                  <c:v>Week 2</c:v>
                </c:pt>
                <c:pt idx="2">
                  <c:v>Week 3</c:v>
                </c:pt>
                <c:pt idx="3">
                  <c:v>Week 4</c:v>
                </c:pt>
              </c:strCache>
            </c:strRef>
          </c:cat>
          <c:val>
            <c:numRef>
              <c:extLst>
                <c:ext xmlns:c15="http://schemas.microsoft.com/office/drawing/2012/chart" uri="{02D57815-91ED-43cb-92C2-25804820EDAC}">
                  <c15:fullRef>
                    <c15:sqref>Dashboard!$D$28:$O$28</c15:sqref>
                  </c15:fullRef>
                </c:ext>
              </c:extLst>
              <c:f>(Dashboard!$D$28,Dashboard!$G$28,Dashboard!$J$28,Dashboard!$M$28)</c:f>
              <c:numCache>
                <c:formatCode>0%</c:formatCode>
                <c:ptCount val="4"/>
                <c:pt idx="0">
                  <c:v>0</c:v>
                </c:pt>
                <c:pt idx="1">
                  <c:v>0.9375</c:v>
                </c:pt>
                <c:pt idx="2">
                  <c:v>0</c:v>
                </c:pt>
                <c:pt idx="3">
                  <c:v>0</c:v>
                </c:pt>
              </c:numCache>
            </c:numRef>
          </c:val>
          <c:smooth val="0"/>
          <c:extLst/>
        </c:ser>
        <c:ser>
          <c:idx val="1"/>
          <c:order val="1"/>
          <c:tx>
            <c:strRef>
              <c:f>Dashboard!$C$24</c:f>
              <c:strCache>
                <c:ptCount val="1"/>
                <c:pt idx="0">
                  <c:v>Average team QC score </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Dashboard!$D$10:$O$10</c15:sqref>
                  </c15:fullRef>
                </c:ext>
              </c:extLst>
              <c:f>(Dashboard!$D$10,Dashboard!$G$10,Dashboard!$J$10,Dashboard!$M$10)</c:f>
              <c:strCache>
                <c:ptCount val="4"/>
                <c:pt idx="0">
                  <c:v>Week 1</c:v>
                </c:pt>
                <c:pt idx="1">
                  <c:v>Week 2</c:v>
                </c:pt>
                <c:pt idx="2">
                  <c:v>Week 3</c:v>
                </c:pt>
                <c:pt idx="3">
                  <c:v>Week 4</c:v>
                </c:pt>
              </c:strCache>
            </c:strRef>
          </c:cat>
          <c:val>
            <c:numRef>
              <c:extLst>
                <c:ext xmlns:c15="http://schemas.microsoft.com/office/drawing/2012/chart" uri="{02D57815-91ED-43cb-92C2-25804820EDAC}">
                  <c15:fullRef>
                    <c15:sqref>Dashboard!$D$24:$O$24</c15:sqref>
                  </c15:fullRef>
                </c:ext>
              </c:extLst>
              <c:f>(Dashboard!$D$24,Dashboard!$G$24,Dashboard!$J$24,Dashboard!$M$24)</c:f>
              <c:numCache>
                <c:formatCode>0%</c:formatCode>
                <c:ptCount val="4"/>
                <c:pt idx="0">
                  <c:v>0</c:v>
                </c:pt>
                <c:pt idx="1">
                  <c:v>0.90874999999999995</c:v>
                </c:pt>
                <c:pt idx="2">
                  <c:v>0</c:v>
                </c:pt>
                <c:pt idx="3">
                  <c:v>0</c:v>
                </c:pt>
              </c:numCache>
            </c:numRef>
          </c:val>
          <c:smooth val="0"/>
          <c:extLst/>
        </c:ser>
        <c:dLbls>
          <c:showLegendKey val="0"/>
          <c:showVal val="0"/>
          <c:showCatName val="0"/>
          <c:showSerName val="0"/>
          <c:showPercent val="0"/>
          <c:showBubbleSize val="0"/>
        </c:dLbls>
        <c:smooth val="0"/>
        <c:axId val="185050832"/>
        <c:axId val="185051392"/>
      </c:lineChart>
      <c:catAx>
        <c:axId val="18505083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5051392"/>
        <c:crosses val="autoZero"/>
        <c:auto val="1"/>
        <c:lblAlgn val="ctr"/>
        <c:lblOffset val="100"/>
        <c:noMultiLvlLbl val="0"/>
      </c:catAx>
      <c:valAx>
        <c:axId val="1850513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5050832"/>
        <c:crosses val="autoZero"/>
        <c:crossBetween val="between"/>
      </c:valAx>
      <c:spPr>
        <a:noFill/>
        <a:ln>
          <a:noFill/>
        </a:ln>
        <a:effectLst/>
      </c:spPr>
    </c:plotArea>
    <c:legend>
      <c:legendPos val="r"/>
      <c:layout>
        <c:manualLayout>
          <c:xMode val="edge"/>
          <c:yMode val="edge"/>
          <c:x val="1.0218515861222997E-2"/>
          <c:y val="0.85617237850046712"/>
          <c:w val="0.96638034856787813"/>
          <c:h val="0.1264967805824922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52429</xdr:colOff>
      <xdr:row>1</xdr:row>
      <xdr:rowOff>56431</xdr:rowOff>
    </xdr:from>
    <xdr:to>
      <xdr:col>3</xdr:col>
      <xdr:colOff>443677</xdr:colOff>
      <xdr:row>4</xdr:row>
      <xdr:rowOff>81643</xdr:rowOff>
    </xdr:to>
    <xdr:pic>
      <xdr:nvPicPr>
        <xdr:cNvPr id="2" name="Picture 8" descr="http://5335958c1.money-resources.co.uk/images/logos/430x130/extra_energy_logo.gif"/>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541" t="12437" r="12217" b="11981"/>
        <a:stretch/>
      </xdr:blipFill>
      <xdr:spPr bwMode="auto">
        <a:xfrm>
          <a:off x="392608" y="396610"/>
          <a:ext cx="1915248" cy="732783"/>
        </a:xfrm>
        <a:prstGeom prst="rect">
          <a:avLst/>
        </a:prstGeom>
        <a:solidFill>
          <a:schemeClr val="bg1"/>
        </a:solidFill>
        <a:ln>
          <a:noFill/>
        </a:ln>
        <a:extLst/>
      </xdr:spPr>
    </xdr:pic>
    <xdr:clientData/>
  </xdr:twoCellAnchor>
  <mc:AlternateContent xmlns:mc="http://schemas.openxmlformats.org/markup-compatibility/2006">
    <mc:Choice xmlns:a14="http://schemas.microsoft.com/office/drawing/2010/main" Requires="a14">
      <xdr:twoCellAnchor>
        <xdr:from>
          <xdr:col>10</xdr:col>
          <xdr:colOff>190500</xdr:colOff>
          <xdr:row>4</xdr:row>
          <xdr:rowOff>228600</xdr:rowOff>
        </xdr:from>
        <xdr:to>
          <xdr:col>14</xdr:col>
          <xdr:colOff>57150</xdr:colOff>
          <xdr:row>7</xdr:row>
          <xdr:rowOff>28575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514350</xdr:colOff>
          <xdr:row>4</xdr:row>
          <xdr:rowOff>219075</xdr:rowOff>
        </xdr:from>
        <xdr:to>
          <xdr:col>19</xdr:col>
          <xdr:colOff>200025</xdr:colOff>
          <xdr:row>7</xdr:row>
          <xdr:rowOff>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305140</xdr:colOff>
      <xdr:row>2</xdr:row>
      <xdr:rowOff>163286</xdr:rowOff>
    </xdr:from>
    <xdr:to>
      <xdr:col>3</xdr:col>
      <xdr:colOff>68037</xdr:colOff>
      <xdr:row>4</xdr:row>
      <xdr:rowOff>170295</xdr:rowOff>
    </xdr:to>
    <xdr:pic>
      <xdr:nvPicPr>
        <xdr:cNvPr id="2" name="Picture 8" descr="http://5335958c1.money-resources.co.uk/images/logos/430x130/extra_energy_logo.gif"/>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541" t="12437" r="12217" b="11981"/>
        <a:stretch/>
      </xdr:blipFill>
      <xdr:spPr bwMode="auto">
        <a:xfrm>
          <a:off x="914740" y="553811"/>
          <a:ext cx="1439297" cy="607084"/>
        </a:xfrm>
        <a:prstGeom prst="rect">
          <a:avLst/>
        </a:prstGeom>
        <a:solidFill>
          <a:schemeClr val="bg1"/>
        </a:solidFill>
        <a:ln>
          <a:noFill/>
        </a:ln>
        <a:extLst/>
      </xdr:spPr>
    </xdr:pic>
    <xdr:clientData/>
  </xdr:twoCellAnchor>
  <mc:AlternateContent xmlns:mc="http://schemas.openxmlformats.org/markup-compatibility/2006">
    <mc:Choice xmlns:a14="http://schemas.microsoft.com/office/drawing/2010/main" Requires="a14">
      <xdr:twoCellAnchor>
        <xdr:from>
          <xdr:col>7</xdr:col>
          <xdr:colOff>581025</xdr:colOff>
          <xdr:row>5</xdr:row>
          <xdr:rowOff>104775</xdr:rowOff>
        </xdr:from>
        <xdr:to>
          <xdr:col>9</xdr:col>
          <xdr:colOff>514350</xdr:colOff>
          <xdr:row>7</xdr:row>
          <xdr:rowOff>152400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142875</xdr:rowOff>
        </xdr:from>
        <xdr:to>
          <xdr:col>6</xdr:col>
          <xdr:colOff>533400</xdr:colOff>
          <xdr:row>7</xdr:row>
          <xdr:rowOff>171450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15</xdr:col>
      <xdr:colOff>157162</xdr:colOff>
      <xdr:row>8</xdr:row>
      <xdr:rowOff>0</xdr:rowOff>
    </xdr:from>
    <xdr:to>
      <xdr:col>20</xdr:col>
      <xdr:colOff>0</xdr:colOff>
      <xdr:row>19</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407195</xdr:colOff>
      <xdr:row>8</xdr:row>
      <xdr:rowOff>83342</xdr:rowOff>
    </xdr:from>
    <xdr:to>
      <xdr:col>19</xdr:col>
      <xdr:colOff>102395</xdr:colOff>
      <xdr:row>9</xdr:row>
      <xdr:rowOff>154780</xdr:rowOff>
    </xdr:to>
    <xdr:sp macro="" textlink="">
      <xdr:nvSpPr>
        <xdr:cNvPr id="4" name="TextBox 3"/>
        <xdr:cNvSpPr txBox="1"/>
      </xdr:nvSpPr>
      <xdr:spPr>
        <a:xfrm>
          <a:off x="15390020" y="2531267"/>
          <a:ext cx="2390775" cy="461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u="sng">
              <a:solidFill>
                <a:schemeClr val="bg1"/>
              </a:solidFill>
            </a:rPr>
            <a:t>Quality</a:t>
          </a:r>
          <a:r>
            <a:rPr lang="en-GB" sz="1400" b="1" u="sng" baseline="0">
              <a:solidFill>
                <a:schemeClr val="bg1"/>
              </a:solidFill>
            </a:rPr>
            <a:t> Performance </a:t>
          </a:r>
          <a:endParaRPr lang="en-GB" sz="1400" b="1" u="sng">
            <a:solidFill>
              <a:schemeClr val="bg1"/>
            </a:solidFill>
          </a:endParaRPr>
        </a:p>
      </xdr:txBody>
    </xdr:sp>
    <xdr:clientData/>
  </xdr:twoCellAnchor>
  <xdr:twoCellAnchor>
    <xdr:from>
      <xdr:col>15</xdr:col>
      <xdr:colOff>158751</xdr:colOff>
      <xdr:row>19</xdr:row>
      <xdr:rowOff>0</xdr:rowOff>
    </xdr:from>
    <xdr:to>
      <xdr:col>19</xdr:col>
      <xdr:colOff>1135676</xdr:colOff>
      <xdr:row>33</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149679</xdr:colOff>
      <xdr:row>1</xdr:row>
      <xdr:rowOff>108857</xdr:rowOff>
    </xdr:from>
    <xdr:to>
      <xdr:col>2</xdr:col>
      <xdr:colOff>1918608</xdr:colOff>
      <xdr:row>2</xdr:row>
      <xdr:rowOff>190499</xdr:rowOff>
    </xdr:to>
    <xdr:pic>
      <xdr:nvPicPr>
        <xdr:cNvPr id="6" name="Picture 5" descr="EELogo-OrangeBlack-TransBackground-Registered"/>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2000" y="299357"/>
          <a:ext cx="2149929" cy="666749"/>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C88"/>
  <sheetViews>
    <sheetView zoomScale="70" zoomScaleNormal="70" workbookViewId="0">
      <selection activeCell="L24" sqref="L24:U24"/>
    </sheetView>
  </sheetViews>
  <sheetFormatPr defaultColWidth="9.140625" defaultRowHeight="15" x14ac:dyDescent="0.25"/>
  <cols>
    <col min="1" max="1" width="8.85546875" style="2" customWidth="1"/>
    <col min="2" max="2" width="16.42578125" style="2" customWidth="1"/>
    <col min="3" max="3" width="6.28515625" style="11" customWidth="1"/>
    <col min="4" max="4" width="71.7109375" style="11" customWidth="1"/>
    <col min="5" max="5" width="10.140625" style="11" customWidth="1"/>
    <col min="6" max="6" width="11.140625" style="11" bestFit="1" customWidth="1"/>
    <col min="7" max="7" width="9.85546875" style="11" customWidth="1"/>
    <col min="8" max="8" width="10.85546875" style="11" bestFit="1" customWidth="1"/>
    <col min="9" max="9" width="12.28515625" style="11" bestFit="1" customWidth="1"/>
    <col min="10" max="10" width="9.5703125" style="11" customWidth="1"/>
    <col min="11" max="11" width="3.42578125" style="2" customWidth="1"/>
    <col min="12" max="12" width="6.85546875" style="11" customWidth="1"/>
    <col min="13" max="14" width="9.140625" style="2" customWidth="1"/>
    <col min="15" max="15" width="5.7109375" style="2" customWidth="1"/>
    <col min="16" max="16" width="12" style="2" customWidth="1"/>
    <col min="17" max="17" width="5.5703125" style="2" customWidth="1"/>
    <col min="18" max="18" width="3.28515625" style="2" customWidth="1"/>
    <col min="19" max="19" width="3.85546875" style="2" customWidth="1"/>
    <col min="20" max="20" width="9.85546875" style="2" customWidth="1"/>
    <col min="21" max="21" width="5" style="2" customWidth="1"/>
    <col min="22" max="22" width="5.140625" style="2" customWidth="1"/>
    <col min="23" max="29" width="9.140625" style="2"/>
    <col min="30" max="16384" width="9.140625" style="11"/>
  </cols>
  <sheetData>
    <row r="1" spans="1:22" ht="26.25" customHeight="1" thickBot="1" x14ac:dyDescent="0.3"/>
    <row r="2" spans="1:22" s="2" customFormat="1" ht="27" customHeight="1" x14ac:dyDescent="0.25">
      <c r="A2" s="199" t="s">
        <v>289</v>
      </c>
      <c r="B2" s="101"/>
      <c r="C2" s="102"/>
      <c r="D2" s="102"/>
      <c r="E2" s="102"/>
      <c r="F2" s="102"/>
      <c r="G2" s="102"/>
      <c r="H2" s="102"/>
      <c r="I2" s="102"/>
      <c r="J2" s="102"/>
      <c r="K2" s="102"/>
      <c r="L2" s="102"/>
      <c r="M2" s="102"/>
      <c r="N2" s="102"/>
      <c r="O2" s="102"/>
      <c r="P2" s="102"/>
      <c r="Q2" s="102"/>
      <c r="R2" s="102"/>
      <c r="S2" s="102"/>
      <c r="T2" s="102"/>
      <c r="U2" s="102"/>
      <c r="V2" s="103"/>
    </row>
    <row r="3" spans="1:22" s="2" customFormat="1" ht="21.75" customHeight="1" x14ac:dyDescent="0.25">
      <c r="B3" s="270" t="s">
        <v>0</v>
      </c>
      <c r="C3" s="271"/>
      <c r="D3" s="271"/>
      <c r="E3" s="271"/>
      <c r="F3" s="271"/>
      <c r="G3" s="271"/>
      <c r="H3" s="271"/>
      <c r="I3" s="271"/>
      <c r="J3" s="271"/>
      <c r="K3" s="271"/>
      <c r="L3" s="271"/>
      <c r="M3" s="271"/>
      <c r="N3" s="271"/>
      <c r="O3" s="271"/>
      <c r="P3" s="271"/>
      <c r="Q3" s="271"/>
      <c r="R3" s="271"/>
      <c r="S3" s="271"/>
      <c r="T3" s="271"/>
      <c r="U3" s="271"/>
      <c r="V3" s="272"/>
    </row>
    <row r="4" spans="1:22" s="2" customFormat="1" ht="7.5" customHeight="1" x14ac:dyDescent="0.25">
      <c r="B4" s="104"/>
      <c r="C4" s="6"/>
      <c r="D4" s="6"/>
      <c r="E4" s="6"/>
      <c r="F4" s="6"/>
      <c r="G4" s="6"/>
      <c r="H4" s="6"/>
      <c r="I4" s="6"/>
      <c r="J4" s="6"/>
      <c r="K4" s="6"/>
      <c r="L4" s="6"/>
      <c r="M4" s="6"/>
      <c r="N4" s="6"/>
      <c r="O4" s="6"/>
      <c r="P4" s="6"/>
      <c r="Q4" s="6"/>
      <c r="R4" s="6"/>
      <c r="S4" s="6"/>
      <c r="T4" s="6"/>
      <c r="U4" s="6"/>
      <c r="V4" s="105"/>
    </row>
    <row r="5" spans="1:22" s="2" customFormat="1" ht="26.25" customHeight="1" x14ac:dyDescent="0.25">
      <c r="B5" s="104"/>
      <c r="D5" s="6"/>
      <c r="E5" s="6"/>
      <c r="F5" s="6"/>
      <c r="G5" s="6"/>
      <c r="H5" s="6"/>
      <c r="I5" s="6"/>
      <c r="J5" s="6"/>
      <c r="K5" s="6"/>
      <c r="L5" s="6"/>
      <c r="M5" s="6"/>
      <c r="N5" s="6"/>
      <c r="O5" s="6"/>
      <c r="P5" s="6"/>
      <c r="Q5" s="6"/>
      <c r="R5" s="6"/>
      <c r="S5" s="6"/>
      <c r="T5" s="6"/>
      <c r="U5" s="6"/>
      <c r="V5" s="105"/>
    </row>
    <row r="6" spans="1:22" s="2" customFormat="1" ht="20.25" customHeight="1" x14ac:dyDescent="0.3">
      <c r="B6" s="278" t="s">
        <v>1</v>
      </c>
      <c r="C6" s="279"/>
      <c r="D6" s="142"/>
      <c r="E6" s="6" t="s">
        <v>353</v>
      </c>
      <c r="F6" s="6"/>
      <c r="G6" s="6"/>
      <c r="H6" s="6"/>
      <c r="I6" s="6"/>
      <c r="J6" s="6"/>
      <c r="K6" s="6"/>
      <c r="L6" s="6"/>
      <c r="M6" s="6"/>
      <c r="N6" s="6"/>
      <c r="O6" s="6"/>
      <c r="P6" s="6"/>
      <c r="Q6" s="6"/>
      <c r="R6" s="6"/>
      <c r="S6" s="6"/>
      <c r="T6" s="6"/>
      <c r="U6" s="6"/>
      <c r="V6" s="105"/>
    </row>
    <row r="7" spans="1:22" s="2" customFormat="1" ht="19.5" customHeight="1" x14ac:dyDescent="0.25">
      <c r="A7" s="1"/>
      <c r="B7" s="106"/>
      <c r="C7" s="107"/>
      <c r="D7" s="6"/>
      <c r="E7" s="7"/>
      <c r="F7" s="7"/>
      <c r="G7" s="7"/>
      <c r="H7" s="4"/>
      <c r="I7" s="4"/>
      <c r="J7" s="4"/>
      <c r="K7" s="4"/>
      <c r="L7" s="4"/>
      <c r="M7" s="4"/>
      <c r="N7" s="4"/>
      <c r="O7" s="4"/>
      <c r="P7" s="4"/>
      <c r="Q7" s="9"/>
      <c r="R7" s="9"/>
      <c r="S7" s="9" t="s">
        <v>4</v>
      </c>
      <c r="T7" s="9"/>
      <c r="U7" s="9"/>
      <c r="V7" s="10"/>
    </row>
    <row r="8" spans="1:22" s="2" customFormat="1" ht="24.75" customHeight="1" x14ac:dyDescent="0.3">
      <c r="A8" s="1"/>
      <c r="B8" s="278" t="s">
        <v>3</v>
      </c>
      <c r="C8" s="279"/>
      <c r="D8" s="143"/>
      <c r="E8" s="7"/>
      <c r="F8" s="7"/>
      <c r="G8" s="7"/>
      <c r="H8" s="4"/>
      <c r="I8" s="4"/>
      <c r="J8" s="4"/>
      <c r="K8" s="4"/>
      <c r="L8" s="4"/>
      <c r="M8" s="4"/>
      <c r="N8" s="4"/>
      <c r="O8" s="4"/>
      <c r="P8" s="4"/>
      <c r="Q8" s="13"/>
      <c r="R8" s="13"/>
      <c r="S8" s="13"/>
      <c r="T8" s="13"/>
      <c r="U8" s="13"/>
      <c r="V8" s="14"/>
    </row>
    <row r="9" spans="1:22" s="2" customFormat="1" ht="20.25" customHeight="1" x14ac:dyDescent="0.25">
      <c r="A9" s="1"/>
      <c r="B9" s="106"/>
      <c r="C9" s="107"/>
      <c r="E9" s="7"/>
      <c r="F9" s="7"/>
      <c r="G9" s="7"/>
      <c r="H9" s="4"/>
      <c r="I9" s="4"/>
      <c r="J9" s="4"/>
      <c r="K9" s="4"/>
      <c r="L9" s="4"/>
      <c r="M9" s="4"/>
      <c r="N9" s="4"/>
      <c r="O9" s="4"/>
      <c r="P9" s="4"/>
      <c r="Q9" s="13"/>
      <c r="R9" s="13"/>
      <c r="S9" s="13" t="s">
        <v>5</v>
      </c>
      <c r="T9" s="13" t="s">
        <v>6</v>
      </c>
      <c r="U9" s="13"/>
      <c r="V9" s="14"/>
    </row>
    <row r="10" spans="1:22" s="2" customFormat="1" ht="26.25" customHeight="1" x14ac:dyDescent="0.25">
      <c r="A10" s="1"/>
      <c r="B10" s="280" t="s">
        <v>201</v>
      </c>
      <c r="C10" s="281"/>
      <c r="D10" s="256"/>
      <c r="E10" s="7"/>
      <c r="F10" s="7"/>
      <c r="G10" s="7"/>
      <c r="H10" s="4"/>
      <c r="I10" s="4"/>
      <c r="J10" s="4"/>
      <c r="K10" s="4"/>
      <c r="L10" s="4"/>
      <c r="M10" s="4"/>
      <c r="N10" s="4"/>
      <c r="O10" s="4"/>
      <c r="P10" s="4"/>
      <c r="Q10" s="13"/>
      <c r="R10" s="13"/>
      <c r="S10" s="13"/>
      <c r="T10" s="13"/>
      <c r="U10" s="13"/>
      <c r="V10" s="14"/>
    </row>
    <row r="11" spans="1:22" s="2" customFormat="1" ht="23.25" x14ac:dyDescent="0.35">
      <c r="A11" s="1"/>
      <c r="B11" s="3"/>
      <c r="C11" s="15"/>
      <c r="D11" s="16"/>
      <c r="E11" s="7"/>
      <c r="F11" s="7"/>
      <c r="G11" s="7"/>
      <c r="H11" s="4"/>
      <c r="I11" s="4"/>
      <c r="J11" s="4"/>
      <c r="K11" s="4"/>
      <c r="L11" s="4"/>
      <c r="M11" s="4"/>
      <c r="N11" s="4"/>
      <c r="O11" s="4"/>
      <c r="P11" s="4"/>
      <c r="Q11" s="13"/>
      <c r="R11" s="13"/>
      <c r="S11" s="13"/>
      <c r="T11" s="13"/>
      <c r="U11" s="13"/>
      <c r="V11" s="14"/>
    </row>
    <row r="12" spans="1:22" ht="15.75" x14ac:dyDescent="0.25">
      <c r="A12" s="1"/>
      <c r="B12" s="3"/>
      <c r="C12" s="188"/>
      <c r="D12" s="159" t="s">
        <v>7</v>
      </c>
      <c r="E12" s="146" t="s">
        <v>248</v>
      </c>
      <c r="F12" s="146" t="s">
        <v>8</v>
      </c>
      <c r="G12" s="147" t="s">
        <v>9</v>
      </c>
      <c r="H12" s="148" t="s">
        <v>10</v>
      </c>
      <c r="I12" s="146" t="s">
        <v>11</v>
      </c>
      <c r="J12" s="145" t="s">
        <v>12</v>
      </c>
      <c r="K12" s="7"/>
      <c r="L12" s="213"/>
      <c r="M12" s="214"/>
      <c r="N12" s="214" t="s">
        <v>13</v>
      </c>
      <c r="O12" s="214"/>
      <c r="P12" s="215"/>
      <c r="Q12" s="18"/>
      <c r="R12" s="18"/>
      <c r="S12" s="18"/>
      <c r="T12" s="18"/>
      <c r="U12" s="18"/>
      <c r="V12" s="14"/>
    </row>
    <row r="13" spans="1:22" ht="15.75" x14ac:dyDescent="0.25">
      <c r="A13" s="1"/>
      <c r="B13" s="3"/>
      <c r="C13" s="228">
        <v>1</v>
      </c>
      <c r="D13" s="223" t="s">
        <v>14</v>
      </c>
      <c r="E13" s="20"/>
      <c r="F13" s="20"/>
      <c r="G13" s="21"/>
      <c r="H13" s="22"/>
      <c r="I13" s="23"/>
      <c r="J13" s="20"/>
      <c r="K13" s="4"/>
      <c r="L13" s="273" t="s">
        <v>15</v>
      </c>
      <c r="M13" s="273"/>
      <c r="N13" s="273"/>
      <c r="O13" s="273"/>
      <c r="P13" s="266"/>
      <c r="Q13" s="13"/>
      <c r="R13" s="13"/>
      <c r="S13" s="13"/>
      <c r="T13" s="13"/>
      <c r="U13" s="13"/>
      <c r="V13" s="14"/>
    </row>
    <row r="14" spans="1:22" ht="15.75" x14ac:dyDescent="0.25">
      <c r="A14" s="1"/>
      <c r="B14" s="3"/>
      <c r="C14" s="229">
        <v>2</v>
      </c>
      <c r="D14" s="224" t="s">
        <v>18</v>
      </c>
      <c r="E14" s="20"/>
      <c r="F14" s="20"/>
      <c r="G14" s="21"/>
      <c r="H14" s="22"/>
      <c r="I14" s="23"/>
      <c r="J14" s="20"/>
      <c r="K14" s="4"/>
      <c r="L14" s="273" t="s">
        <v>16</v>
      </c>
      <c r="M14" s="273"/>
      <c r="N14" s="273"/>
      <c r="O14" s="273"/>
      <c r="P14" s="265"/>
      <c r="Q14" s="13"/>
      <c r="R14" s="13"/>
      <c r="S14" s="13"/>
      <c r="T14" s="13"/>
      <c r="U14" s="13"/>
      <c r="V14" s="14"/>
    </row>
    <row r="15" spans="1:22" ht="15.75" x14ac:dyDescent="0.25">
      <c r="A15" s="1"/>
      <c r="B15" s="3"/>
      <c r="C15" s="229">
        <v>3</v>
      </c>
      <c r="D15" s="224" t="s">
        <v>19</v>
      </c>
      <c r="E15" s="20"/>
      <c r="F15" s="20"/>
      <c r="G15" s="21"/>
      <c r="H15" s="22"/>
      <c r="I15" s="23"/>
      <c r="J15" s="20"/>
      <c r="K15" s="4"/>
      <c r="L15" s="141" t="s">
        <v>17</v>
      </c>
      <c r="M15" s="141"/>
      <c r="N15" s="141"/>
      <c r="O15" s="141"/>
      <c r="P15" s="149"/>
      <c r="Q15" s="13"/>
      <c r="R15" s="13">
        <v>0</v>
      </c>
      <c r="S15" s="13"/>
      <c r="T15" s="13"/>
      <c r="U15" s="13"/>
      <c r="V15" s="14"/>
    </row>
    <row r="16" spans="1:22" ht="15.75" x14ac:dyDescent="0.25">
      <c r="A16" s="1"/>
      <c r="B16" s="3"/>
      <c r="C16" s="229">
        <v>4</v>
      </c>
      <c r="D16" s="224" t="s">
        <v>20</v>
      </c>
      <c r="E16" s="20"/>
      <c r="F16" s="20"/>
      <c r="G16" s="21"/>
      <c r="H16" s="22"/>
      <c r="I16" s="23"/>
      <c r="J16" s="20"/>
      <c r="K16" s="4"/>
      <c r="L16" s="274"/>
      <c r="M16" s="274"/>
      <c r="N16" s="274"/>
      <c r="O16" s="274"/>
      <c r="P16" s="149"/>
      <c r="Q16" s="13"/>
      <c r="R16" s="13"/>
      <c r="S16" s="13"/>
      <c r="T16" s="13"/>
      <c r="U16" s="13"/>
      <c r="V16" s="14"/>
    </row>
    <row r="17" spans="1:22" ht="15.75" x14ac:dyDescent="0.25">
      <c r="A17" s="1"/>
      <c r="B17" s="3"/>
      <c r="C17" s="229">
        <v>5</v>
      </c>
      <c r="D17" s="224" t="s">
        <v>21</v>
      </c>
      <c r="E17" s="20"/>
      <c r="F17" s="20"/>
      <c r="G17" s="21"/>
      <c r="H17" s="22"/>
      <c r="I17" s="23"/>
      <c r="J17" s="20"/>
      <c r="K17" s="4"/>
      <c r="L17" s="6"/>
      <c r="M17" s="6"/>
      <c r="N17" s="6"/>
      <c r="O17" s="6"/>
      <c r="P17" s="6"/>
      <c r="Q17" s="9"/>
      <c r="R17" s="9"/>
      <c r="S17" s="9"/>
      <c r="T17" s="9"/>
      <c r="U17" s="9"/>
      <c r="V17" s="10"/>
    </row>
    <row r="18" spans="1:22" ht="15.75" x14ac:dyDescent="0.25">
      <c r="A18" s="1"/>
      <c r="B18" s="3"/>
      <c r="C18" s="229">
        <v>6</v>
      </c>
      <c r="D18" s="224" t="s">
        <v>22</v>
      </c>
      <c r="E18" s="20"/>
      <c r="F18" s="20"/>
      <c r="G18" s="21"/>
      <c r="H18" s="22"/>
      <c r="I18" s="23"/>
      <c r="J18" s="20"/>
      <c r="K18" s="4"/>
      <c r="L18" s="4"/>
      <c r="M18" s="4"/>
      <c r="N18" s="4"/>
      <c r="O18" s="4"/>
      <c r="P18" s="4"/>
      <c r="Q18" s="9"/>
      <c r="R18" s="9"/>
      <c r="S18" s="9"/>
      <c r="T18" s="9"/>
      <c r="U18" s="9"/>
      <c r="V18" s="10"/>
    </row>
    <row r="19" spans="1:22" ht="15.75" x14ac:dyDescent="0.25">
      <c r="A19" s="1"/>
      <c r="B19" s="3"/>
      <c r="C19" s="229">
        <v>7</v>
      </c>
      <c r="D19" s="224" t="s">
        <v>23</v>
      </c>
      <c r="E19" s="20"/>
      <c r="F19" s="20"/>
      <c r="G19" s="21"/>
      <c r="H19" s="22"/>
      <c r="I19" s="23"/>
      <c r="J19" s="20"/>
      <c r="K19" s="4"/>
      <c r="L19" s="4"/>
      <c r="M19" s="4"/>
      <c r="N19" s="4"/>
      <c r="O19" s="4"/>
      <c r="P19" s="4"/>
      <c r="Q19" s="9"/>
      <c r="R19" s="9"/>
      <c r="S19" s="9"/>
      <c r="T19" s="9"/>
      <c r="U19" s="9"/>
      <c r="V19" s="10"/>
    </row>
    <row r="20" spans="1:22" ht="15.75" x14ac:dyDescent="0.25">
      <c r="A20" s="1"/>
      <c r="B20" s="3"/>
      <c r="C20" s="230">
        <v>8</v>
      </c>
      <c r="D20" s="225" t="s">
        <v>24</v>
      </c>
      <c r="E20" s="20"/>
      <c r="F20" s="20"/>
      <c r="G20" s="21"/>
      <c r="H20" s="22"/>
      <c r="I20" s="23"/>
      <c r="J20" s="24"/>
      <c r="K20" s="4"/>
      <c r="L20" s="4"/>
      <c r="M20" s="4"/>
      <c r="N20" s="4"/>
      <c r="O20" s="4"/>
      <c r="P20" s="4"/>
      <c r="Q20" s="9"/>
      <c r="R20" s="9"/>
      <c r="S20" s="9"/>
      <c r="T20" s="9"/>
      <c r="U20" s="9"/>
      <c r="V20" s="10"/>
    </row>
    <row r="21" spans="1:22" ht="15.75" x14ac:dyDescent="0.25">
      <c r="A21" s="1"/>
      <c r="B21" s="3"/>
      <c r="C21" s="7"/>
      <c r="D21" s="135"/>
      <c r="E21" s="29"/>
      <c r="F21" s="29"/>
      <c r="G21" s="29"/>
      <c r="H21" s="4"/>
      <c r="I21" s="4"/>
      <c r="J21" s="4"/>
      <c r="K21" s="4"/>
      <c r="L21" s="4"/>
      <c r="M21" s="4"/>
      <c r="N21" s="4"/>
      <c r="O21" s="4"/>
      <c r="P21" s="4"/>
      <c r="Q21" s="9"/>
      <c r="R21" s="9"/>
      <c r="S21" s="9"/>
      <c r="T21" s="9"/>
      <c r="U21" s="9"/>
      <c r="V21" s="10"/>
    </row>
    <row r="22" spans="1:22" ht="15.75" x14ac:dyDescent="0.25">
      <c r="A22" s="1"/>
      <c r="B22" s="3"/>
      <c r="C22" s="217" t="s">
        <v>4</v>
      </c>
      <c r="D22" s="216" t="s">
        <v>26</v>
      </c>
      <c r="E22" s="4"/>
      <c r="F22" s="4"/>
      <c r="G22" s="4"/>
      <c r="H22" s="4"/>
      <c r="I22" s="4"/>
      <c r="J22" s="4"/>
      <c r="K22" s="4"/>
      <c r="L22" s="4"/>
      <c r="M22" s="4"/>
      <c r="N22" s="4"/>
      <c r="O22" s="4"/>
      <c r="P22" s="4"/>
      <c r="Q22" s="9"/>
      <c r="R22" s="9"/>
      <c r="S22" s="9"/>
      <c r="T22" s="9"/>
      <c r="U22" s="9"/>
      <c r="V22" s="10"/>
    </row>
    <row r="23" spans="1:22" ht="15.75" x14ac:dyDescent="0.25">
      <c r="A23" s="1"/>
      <c r="B23" s="3"/>
      <c r="C23" s="19">
        <v>9</v>
      </c>
      <c r="D23" s="136" t="s">
        <v>27</v>
      </c>
      <c r="E23" s="30"/>
      <c r="F23" s="20"/>
      <c r="G23" s="31"/>
      <c r="H23" s="30"/>
      <c r="I23" s="233"/>
      <c r="J23" s="20"/>
      <c r="K23" s="4"/>
      <c r="L23" s="275" t="s">
        <v>25</v>
      </c>
      <c r="M23" s="276"/>
      <c r="N23" s="276"/>
      <c r="O23" s="276"/>
      <c r="P23" s="276"/>
      <c r="Q23" s="276"/>
      <c r="R23" s="276"/>
      <c r="S23" s="276"/>
      <c r="T23" s="276"/>
      <c r="U23" s="277"/>
      <c r="V23" s="5"/>
    </row>
    <row r="24" spans="1:22" ht="15.75" x14ac:dyDescent="0.25">
      <c r="A24" s="1"/>
      <c r="B24" s="3"/>
      <c r="C24" s="229">
        <v>10</v>
      </c>
      <c r="D24" s="224" t="s">
        <v>28</v>
      </c>
      <c r="E24" s="30"/>
      <c r="F24" s="20"/>
      <c r="G24" s="31"/>
      <c r="H24" s="30"/>
      <c r="I24" s="233"/>
      <c r="J24" s="20"/>
      <c r="K24" s="4"/>
      <c r="L24" s="267"/>
      <c r="M24" s="268"/>
      <c r="N24" s="268"/>
      <c r="O24" s="268"/>
      <c r="P24" s="268"/>
      <c r="Q24" s="268"/>
      <c r="R24" s="268"/>
      <c r="S24" s="268"/>
      <c r="T24" s="268"/>
      <c r="U24" s="269"/>
      <c r="V24" s="5"/>
    </row>
    <row r="25" spans="1:22" ht="15.75" x14ac:dyDescent="0.25">
      <c r="A25" s="1"/>
      <c r="B25" s="3"/>
      <c r="C25" s="229">
        <v>11</v>
      </c>
      <c r="D25" s="224" t="s">
        <v>29</v>
      </c>
      <c r="E25" s="30"/>
      <c r="F25" s="20"/>
      <c r="G25" s="31"/>
      <c r="H25" s="30"/>
      <c r="I25" s="233"/>
      <c r="J25" s="20"/>
      <c r="K25" s="4"/>
      <c r="L25" s="4"/>
      <c r="M25" s="4"/>
      <c r="N25" s="4"/>
      <c r="O25" s="4"/>
      <c r="P25" s="4"/>
      <c r="Q25" s="4"/>
      <c r="R25" s="4"/>
      <c r="S25" s="4"/>
      <c r="T25" s="4"/>
      <c r="U25" s="4"/>
      <c r="V25" s="5"/>
    </row>
    <row r="26" spans="1:22" ht="15.75" x14ac:dyDescent="0.25">
      <c r="A26" s="1"/>
      <c r="B26" s="3"/>
      <c r="C26" s="229">
        <v>12</v>
      </c>
      <c r="D26" s="224" t="s">
        <v>30</v>
      </c>
      <c r="E26" s="30"/>
      <c r="F26" s="20"/>
      <c r="G26" s="31"/>
      <c r="H26" s="30"/>
      <c r="I26" s="233"/>
      <c r="J26" s="20"/>
      <c r="K26" s="4"/>
      <c r="L26" s="4"/>
      <c r="M26" s="4"/>
      <c r="N26" s="4"/>
      <c r="O26" s="4"/>
      <c r="P26" s="4"/>
      <c r="Q26" s="4"/>
      <c r="R26" s="4"/>
      <c r="S26" s="4"/>
      <c r="T26" s="4"/>
      <c r="U26" s="4"/>
      <c r="V26" s="5"/>
    </row>
    <row r="27" spans="1:22" ht="15.75" x14ac:dyDescent="0.25">
      <c r="A27" s="1"/>
      <c r="B27" s="3"/>
      <c r="C27" s="229">
        <v>13</v>
      </c>
      <c r="D27" s="226" t="s">
        <v>31</v>
      </c>
      <c r="E27" s="30"/>
      <c r="F27" s="20"/>
      <c r="G27" s="31"/>
      <c r="H27" s="30"/>
      <c r="I27" s="233"/>
      <c r="J27" s="20"/>
      <c r="K27" s="4"/>
      <c r="L27" s="4"/>
      <c r="M27" s="4"/>
      <c r="N27" s="4"/>
      <c r="O27" s="4"/>
      <c r="P27" s="4"/>
      <c r="Q27" s="4"/>
      <c r="R27" s="4"/>
      <c r="S27" s="4"/>
      <c r="T27" s="4"/>
      <c r="U27" s="4"/>
      <c r="V27" s="5"/>
    </row>
    <row r="28" spans="1:22" ht="15.75" x14ac:dyDescent="0.25">
      <c r="A28" s="1"/>
      <c r="B28" s="3"/>
      <c r="C28" s="229">
        <v>14</v>
      </c>
      <c r="D28" s="227" t="s">
        <v>302</v>
      </c>
      <c r="E28" s="30"/>
      <c r="F28" s="20"/>
      <c r="G28" s="31"/>
      <c r="H28" s="30"/>
      <c r="I28" s="233"/>
      <c r="J28" s="20"/>
      <c r="K28" s="4"/>
      <c r="L28" s="4"/>
      <c r="M28" s="4"/>
      <c r="N28" s="4"/>
      <c r="O28" s="4"/>
      <c r="P28" s="4"/>
      <c r="Q28" s="4"/>
      <c r="R28" s="4"/>
      <c r="S28" s="4"/>
      <c r="T28" s="4"/>
      <c r="U28" s="4"/>
      <c r="V28" s="5"/>
    </row>
    <row r="29" spans="1:22" ht="15.75" x14ac:dyDescent="0.25">
      <c r="A29" s="1"/>
      <c r="B29" s="3"/>
      <c r="C29" s="229">
        <v>15</v>
      </c>
      <c r="D29" s="227" t="s">
        <v>303</v>
      </c>
      <c r="E29" s="30"/>
      <c r="F29" s="20"/>
      <c r="G29" s="31"/>
      <c r="H29" s="30"/>
      <c r="I29" s="233"/>
      <c r="J29" s="20"/>
      <c r="K29" s="4"/>
      <c r="L29" s="4"/>
      <c r="M29" s="4"/>
      <c r="N29" s="4"/>
      <c r="O29" s="4"/>
      <c r="P29" s="4"/>
      <c r="Q29" s="4"/>
      <c r="R29" s="4"/>
      <c r="S29" s="4"/>
      <c r="T29" s="4"/>
      <c r="U29" s="4"/>
      <c r="V29" s="5"/>
    </row>
    <row r="30" spans="1:22" ht="15.75" x14ac:dyDescent="0.25">
      <c r="A30" s="1"/>
      <c r="B30" s="3"/>
      <c r="C30" s="229">
        <v>16</v>
      </c>
      <c r="D30" s="226" t="s">
        <v>32</v>
      </c>
      <c r="E30" s="30"/>
      <c r="F30" s="20"/>
      <c r="G30" s="31"/>
      <c r="H30" s="30"/>
      <c r="I30" s="233"/>
      <c r="J30" s="20"/>
      <c r="K30" s="4"/>
      <c r="L30" s="4"/>
      <c r="M30" s="4"/>
      <c r="N30" s="4"/>
      <c r="O30" s="4"/>
      <c r="P30" s="4"/>
      <c r="Q30" s="4"/>
      <c r="R30" s="4"/>
      <c r="S30" s="4"/>
      <c r="T30" s="4"/>
      <c r="U30" s="4"/>
      <c r="V30" s="5"/>
    </row>
    <row r="31" spans="1:22" ht="15.75" x14ac:dyDescent="0.25">
      <c r="A31" s="1"/>
      <c r="B31" s="3"/>
      <c r="C31" s="229">
        <v>17</v>
      </c>
      <c r="D31" s="226" t="s">
        <v>33</v>
      </c>
      <c r="E31" s="30"/>
      <c r="F31" s="20"/>
      <c r="G31" s="31"/>
      <c r="H31" s="30"/>
      <c r="I31" s="233"/>
      <c r="J31" s="20"/>
      <c r="K31" s="4"/>
      <c r="L31" s="4"/>
      <c r="M31" s="4"/>
      <c r="N31" s="4"/>
      <c r="O31" s="4"/>
      <c r="P31" s="4"/>
      <c r="Q31" s="4"/>
      <c r="R31" s="4"/>
      <c r="S31" s="4"/>
      <c r="T31" s="4"/>
      <c r="U31" s="4"/>
      <c r="V31" s="5"/>
    </row>
    <row r="32" spans="1:22" ht="15.75" x14ac:dyDescent="0.25">
      <c r="A32" s="1"/>
      <c r="B32" s="3"/>
      <c r="C32" s="229">
        <v>18</v>
      </c>
      <c r="D32" s="226" t="s">
        <v>34</v>
      </c>
      <c r="E32" s="30"/>
      <c r="F32" s="20"/>
      <c r="G32" s="31"/>
      <c r="H32" s="30"/>
      <c r="I32" s="233"/>
      <c r="J32" s="20"/>
      <c r="K32" s="4"/>
      <c r="L32" s="4"/>
      <c r="M32" s="4"/>
      <c r="N32" s="4"/>
      <c r="O32" s="4"/>
      <c r="P32" s="4"/>
      <c r="Q32" s="4"/>
      <c r="R32" s="4"/>
      <c r="S32" s="4"/>
      <c r="T32" s="4"/>
      <c r="U32" s="4"/>
      <c r="V32" s="5"/>
    </row>
    <row r="33" spans="1:22" ht="15.75" x14ac:dyDescent="0.25">
      <c r="A33" s="1"/>
      <c r="B33" s="3"/>
      <c r="C33" s="229">
        <v>19</v>
      </c>
      <c r="D33" s="224" t="s">
        <v>35</v>
      </c>
      <c r="E33" s="30"/>
      <c r="F33" s="20"/>
      <c r="G33" s="31"/>
      <c r="H33" s="30"/>
      <c r="I33" s="233"/>
      <c r="J33" s="20"/>
      <c r="K33" s="4"/>
      <c r="L33" s="4"/>
      <c r="M33" s="4"/>
      <c r="N33" s="4"/>
      <c r="O33" s="4"/>
      <c r="P33" s="4"/>
      <c r="Q33" s="4"/>
      <c r="R33" s="4"/>
      <c r="S33" s="4"/>
      <c r="T33" s="4"/>
      <c r="U33" s="4"/>
      <c r="V33" s="5"/>
    </row>
    <row r="34" spans="1:22" ht="15.75" x14ac:dyDescent="0.25">
      <c r="A34" s="1"/>
      <c r="B34" s="3"/>
      <c r="C34" s="229">
        <v>20</v>
      </c>
      <c r="D34" s="224" t="s">
        <v>36</v>
      </c>
      <c r="E34" s="30"/>
      <c r="F34" s="20"/>
      <c r="G34" s="31"/>
      <c r="H34" s="30"/>
      <c r="I34" s="233"/>
      <c r="J34" s="20"/>
      <c r="K34" s="4"/>
      <c r="L34" s="4"/>
      <c r="M34" s="4"/>
      <c r="N34" s="4"/>
      <c r="O34" s="4"/>
      <c r="P34" s="4"/>
      <c r="Q34" s="4"/>
      <c r="R34" s="4"/>
      <c r="S34" s="4"/>
      <c r="T34" s="4"/>
      <c r="U34" s="4"/>
      <c r="V34" s="5"/>
    </row>
    <row r="35" spans="1:22" ht="15.75" x14ac:dyDescent="0.25">
      <c r="A35" s="1"/>
      <c r="B35" s="3"/>
      <c r="C35" s="230">
        <v>21</v>
      </c>
      <c r="D35" s="225" t="s">
        <v>37</v>
      </c>
      <c r="E35" s="30"/>
      <c r="F35" s="20"/>
      <c r="G35" s="31"/>
      <c r="H35" s="30"/>
      <c r="I35" s="233"/>
      <c r="J35" s="20"/>
      <c r="K35" s="4"/>
      <c r="L35" s="4"/>
      <c r="M35" s="4"/>
      <c r="N35" s="4"/>
      <c r="O35" s="4"/>
      <c r="P35" s="4"/>
      <c r="Q35" s="4"/>
      <c r="R35" s="4"/>
      <c r="S35" s="4"/>
      <c r="T35" s="4"/>
      <c r="U35" s="4"/>
      <c r="V35" s="5"/>
    </row>
    <row r="36" spans="1:22" ht="15.75" x14ac:dyDescent="0.25">
      <c r="A36" s="1"/>
      <c r="B36" s="3"/>
      <c r="C36" s="7"/>
      <c r="D36" s="137"/>
      <c r="E36" s="29"/>
      <c r="F36" s="29"/>
      <c r="G36" s="29"/>
      <c r="H36" s="4"/>
      <c r="I36" s="4"/>
      <c r="J36" s="4"/>
      <c r="K36" s="4"/>
      <c r="L36" s="4"/>
      <c r="M36" s="4"/>
      <c r="N36" s="4"/>
      <c r="O36" s="4"/>
      <c r="P36" s="4"/>
      <c r="Q36" s="4"/>
      <c r="R36" s="4"/>
      <c r="S36" s="4"/>
      <c r="T36" s="4"/>
      <c r="U36" s="4"/>
      <c r="V36" s="5"/>
    </row>
    <row r="37" spans="1:22" ht="15.75" x14ac:dyDescent="0.25">
      <c r="A37" s="1"/>
      <c r="B37" s="3"/>
      <c r="C37" s="219"/>
      <c r="D37" s="218" t="s">
        <v>38</v>
      </c>
      <c r="E37" s="29"/>
      <c r="F37" s="29"/>
      <c r="G37" s="29"/>
      <c r="H37" s="4"/>
      <c r="I37" s="4"/>
      <c r="J37" s="4"/>
      <c r="K37" s="4"/>
      <c r="L37" s="4"/>
      <c r="M37" s="4"/>
      <c r="N37" s="4"/>
      <c r="O37" s="4"/>
      <c r="P37" s="4"/>
      <c r="Q37" s="4"/>
      <c r="R37" s="4"/>
      <c r="S37" s="4"/>
      <c r="T37" s="4"/>
      <c r="U37" s="4"/>
      <c r="V37" s="5"/>
    </row>
    <row r="38" spans="1:22" ht="15.75" x14ac:dyDescent="0.25">
      <c r="A38" s="1"/>
      <c r="B38" s="3"/>
      <c r="C38" s="228">
        <v>22</v>
      </c>
      <c r="D38" s="223" t="s">
        <v>39</v>
      </c>
      <c r="E38" s="165"/>
      <c r="F38" s="165"/>
      <c r="G38" s="165"/>
      <c r="H38" s="251"/>
      <c r="I38" s="251"/>
      <c r="J38" s="251"/>
      <c r="K38" s="4"/>
      <c r="L38" s="4"/>
      <c r="M38" s="4"/>
      <c r="N38" s="4"/>
      <c r="O38" s="4"/>
      <c r="P38" s="4"/>
      <c r="Q38" s="4"/>
      <c r="R38" s="4"/>
      <c r="S38" s="4"/>
      <c r="T38" s="4"/>
      <c r="U38" s="4"/>
      <c r="V38" s="5"/>
    </row>
    <row r="39" spans="1:22" ht="15.75" x14ac:dyDescent="0.25">
      <c r="A39" s="1"/>
      <c r="B39" s="3"/>
      <c r="C39" s="229">
        <v>23</v>
      </c>
      <c r="D39" s="231" t="s">
        <v>40</v>
      </c>
      <c r="E39" s="165"/>
      <c r="F39" s="185"/>
      <c r="G39" s="185"/>
      <c r="H39" s="252"/>
      <c r="I39" s="252"/>
      <c r="J39" s="252"/>
      <c r="K39" s="4"/>
      <c r="L39" s="4"/>
      <c r="M39" s="4"/>
      <c r="N39" s="4"/>
      <c r="O39" s="4"/>
      <c r="P39" s="4"/>
      <c r="Q39" s="4"/>
      <c r="R39" s="4"/>
      <c r="S39" s="4"/>
      <c r="T39" s="4"/>
      <c r="U39" s="4"/>
      <c r="V39" s="5"/>
    </row>
    <row r="40" spans="1:22" ht="15.75" x14ac:dyDescent="0.25">
      <c r="A40" s="1"/>
      <c r="B40" s="3"/>
      <c r="C40" s="229">
        <v>24</v>
      </c>
      <c r="D40" s="232" t="s">
        <v>41</v>
      </c>
      <c r="E40" s="165"/>
      <c r="F40" s="185"/>
      <c r="G40" s="185"/>
      <c r="H40" s="252"/>
      <c r="I40" s="252"/>
      <c r="J40" s="252"/>
      <c r="K40" s="4"/>
      <c r="L40" s="4"/>
      <c r="M40" s="4"/>
      <c r="N40" s="4"/>
      <c r="O40" s="4"/>
      <c r="P40" s="4"/>
      <c r="Q40" s="4"/>
      <c r="R40" s="4"/>
      <c r="S40" s="4"/>
      <c r="T40" s="4"/>
      <c r="U40" s="4"/>
      <c r="V40" s="5"/>
    </row>
    <row r="41" spans="1:22" ht="15.75" x14ac:dyDescent="0.25">
      <c r="A41" s="1"/>
      <c r="B41" s="3"/>
      <c r="C41" s="229">
        <v>25</v>
      </c>
      <c r="D41" s="232" t="s">
        <v>42</v>
      </c>
      <c r="E41" s="165"/>
      <c r="F41" s="185"/>
      <c r="G41" s="185"/>
      <c r="H41" s="252"/>
      <c r="I41" s="252"/>
      <c r="J41" s="252"/>
      <c r="K41" s="4"/>
      <c r="L41" s="4"/>
      <c r="M41" s="4"/>
      <c r="N41" s="4"/>
      <c r="O41" s="4"/>
      <c r="P41" s="4"/>
      <c r="Q41" s="4"/>
      <c r="R41" s="4"/>
      <c r="S41" s="6"/>
      <c r="T41" s="4"/>
      <c r="U41" s="4"/>
      <c r="V41" s="5"/>
    </row>
    <row r="42" spans="1:22" ht="15.75" x14ac:dyDescent="0.25">
      <c r="A42" s="1"/>
      <c r="B42" s="3"/>
      <c r="C42" s="229">
        <v>26</v>
      </c>
      <c r="D42" s="232" t="s">
        <v>43</v>
      </c>
      <c r="E42" s="165"/>
      <c r="F42" s="185"/>
      <c r="G42" s="185"/>
      <c r="H42" s="252"/>
      <c r="I42" s="252"/>
      <c r="J42" s="252"/>
      <c r="K42" s="4"/>
      <c r="L42" s="4"/>
      <c r="M42" s="4"/>
      <c r="N42" s="4"/>
      <c r="O42" s="4"/>
      <c r="P42" s="4"/>
      <c r="Q42" s="4"/>
      <c r="R42" s="4"/>
      <c r="S42" s="6"/>
      <c r="T42" s="4"/>
      <c r="U42" s="4"/>
      <c r="V42" s="5"/>
    </row>
    <row r="43" spans="1:22" ht="15.75" x14ac:dyDescent="0.25">
      <c r="A43" s="1"/>
      <c r="B43" s="3"/>
      <c r="C43" s="229">
        <v>27</v>
      </c>
      <c r="D43" s="232" t="s">
        <v>44</v>
      </c>
      <c r="E43" s="165"/>
      <c r="F43" s="185"/>
      <c r="G43" s="185"/>
      <c r="H43" s="252"/>
      <c r="I43" s="252"/>
      <c r="J43" s="252"/>
      <c r="K43" s="4"/>
      <c r="L43" s="4"/>
      <c r="M43" s="4"/>
      <c r="N43" s="4"/>
      <c r="O43" s="4"/>
      <c r="P43" s="4"/>
      <c r="Q43" s="4"/>
      <c r="R43" s="4"/>
      <c r="S43" s="6"/>
      <c r="T43" s="4"/>
      <c r="U43" s="4"/>
      <c r="V43" s="5"/>
    </row>
    <row r="44" spans="1:22" ht="15.75" x14ac:dyDescent="0.25">
      <c r="A44" s="1"/>
      <c r="B44" s="3"/>
      <c r="C44" s="229">
        <v>28</v>
      </c>
      <c r="D44" s="232" t="s">
        <v>45</v>
      </c>
      <c r="E44" s="165"/>
      <c r="F44" s="185"/>
      <c r="G44" s="185"/>
      <c r="H44" s="252"/>
      <c r="I44" s="252"/>
      <c r="J44" s="252"/>
      <c r="K44" s="4"/>
      <c r="L44" s="6"/>
      <c r="M44" s="6"/>
      <c r="N44" s="6"/>
      <c r="O44" s="6"/>
      <c r="P44" s="6"/>
      <c r="Q44" s="6"/>
      <c r="R44" s="6"/>
      <c r="S44" s="6"/>
      <c r="T44" s="6"/>
      <c r="U44" s="6"/>
      <c r="V44" s="5"/>
    </row>
    <row r="45" spans="1:22" ht="15.75" x14ac:dyDescent="0.25">
      <c r="A45" s="1"/>
      <c r="B45" s="3"/>
      <c r="C45" s="229">
        <v>29</v>
      </c>
      <c r="D45" s="232" t="s">
        <v>46</v>
      </c>
      <c r="E45" s="165"/>
      <c r="F45" s="185"/>
      <c r="G45" s="185"/>
      <c r="H45" s="252"/>
      <c r="I45" s="252"/>
      <c r="J45" s="252"/>
      <c r="K45" s="4"/>
      <c r="L45" s="6"/>
      <c r="M45" s="6"/>
      <c r="N45" s="6"/>
      <c r="O45" s="6"/>
      <c r="P45" s="6"/>
      <c r="Q45" s="6"/>
      <c r="R45" s="6"/>
      <c r="S45" s="6"/>
      <c r="T45" s="6"/>
      <c r="U45" s="6"/>
      <c r="V45" s="5"/>
    </row>
    <row r="46" spans="1:22" ht="15.75" x14ac:dyDescent="0.25">
      <c r="A46" s="1"/>
      <c r="B46" s="3"/>
      <c r="C46" s="229">
        <v>30</v>
      </c>
      <c r="D46" s="232" t="s">
        <v>47</v>
      </c>
      <c r="E46" s="165"/>
      <c r="F46" s="185"/>
      <c r="G46" s="185"/>
      <c r="H46" s="252"/>
      <c r="I46" s="252"/>
      <c r="J46" s="252"/>
      <c r="K46" s="4"/>
      <c r="L46" s="6"/>
      <c r="M46" s="6"/>
      <c r="N46" s="6"/>
      <c r="O46" s="6"/>
      <c r="P46" s="6"/>
      <c r="Q46" s="6"/>
      <c r="R46" s="6"/>
      <c r="S46" s="6"/>
      <c r="T46" s="6"/>
      <c r="U46" s="6"/>
      <c r="V46" s="5"/>
    </row>
    <row r="47" spans="1:22" ht="15.75" x14ac:dyDescent="0.25">
      <c r="A47" s="1"/>
      <c r="B47" s="3"/>
      <c r="C47" s="229">
        <v>31</v>
      </c>
      <c r="D47" s="232" t="s">
        <v>48</v>
      </c>
      <c r="E47" s="165"/>
      <c r="F47" s="185"/>
      <c r="G47" s="185"/>
      <c r="H47" s="252"/>
      <c r="I47" s="252"/>
      <c r="J47" s="252"/>
      <c r="K47" s="4"/>
      <c r="L47" s="6"/>
      <c r="M47" s="6"/>
      <c r="N47" s="6"/>
      <c r="O47" s="6"/>
      <c r="P47" s="6"/>
      <c r="Q47" s="6"/>
      <c r="R47" s="6"/>
      <c r="S47" s="6"/>
      <c r="T47" s="6"/>
      <c r="U47" s="6"/>
      <c r="V47" s="5"/>
    </row>
    <row r="48" spans="1:22" ht="15.75" x14ac:dyDescent="0.25">
      <c r="A48" s="1"/>
      <c r="B48" s="3"/>
      <c r="C48" s="229">
        <v>32</v>
      </c>
      <c r="D48" s="232" t="s">
        <v>49</v>
      </c>
      <c r="E48" s="165"/>
      <c r="F48" s="185"/>
      <c r="G48" s="185"/>
      <c r="H48" s="252"/>
      <c r="I48" s="252"/>
      <c r="J48" s="252"/>
      <c r="K48" s="4"/>
      <c r="L48" s="6"/>
      <c r="M48" s="6"/>
      <c r="N48" s="6"/>
      <c r="O48" s="6"/>
      <c r="P48" s="6"/>
      <c r="Q48" s="6"/>
      <c r="R48" s="6"/>
      <c r="S48" s="6"/>
      <c r="T48" s="6"/>
      <c r="U48" s="6"/>
      <c r="V48" s="5"/>
    </row>
    <row r="49" spans="1:22" ht="15.75" x14ac:dyDescent="0.25">
      <c r="A49" s="1"/>
      <c r="B49" s="3"/>
      <c r="C49" s="230">
        <v>33</v>
      </c>
      <c r="D49" s="225" t="s">
        <v>50</v>
      </c>
      <c r="E49" s="165"/>
      <c r="F49" s="185"/>
      <c r="G49" s="185"/>
      <c r="H49" s="252"/>
      <c r="I49" s="252"/>
      <c r="J49" s="252"/>
      <c r="K49" s="4"/>
      <c r="L49" s="6"/>
      <c r="M49" s="6"/>
      <c r="N49" s="6"/>
      <c r="O49" s="6"/>
      <c r="P49" s="6"/>
      <c r="Q49" s="6"/>
      <c r="R49" s="6"/>
      <c r="S49" s="6"/>
      <c r="T49" s="6"/>
      <c r="U49" s="6"/>
      <c r="V49" s="5"/>
    </row>
    <row r="50" spans="1:22" ht="15.75" x14ac:dyDescent="0.25">
      <c r="A50" s="1"/>
      <c r="B50" s="3"/>
      <c r="C50" s="7"/>
      <c r="D50" s="135"/>
      <c r="E50" s="29"/>
      <c r="F50" s="29"/>
      <c r="G50" s="29"/>
      <c r="H50" s="253"/>
      <c r="I50" s="253"/>
      <c r="J50" s="253"/>
      <c r="K50" s="4"/>
      <c r="L50" s="6"/>
      <c r="M50" s="6"/>
      <c r="N50" s="6"/>
      <c r="O50" s="6"/>
      <c r="P50" s="6"/>
      <c r="Q50" s="6"/>
      <c r="R50" s="6"/>
      <c r="S50" s="6"/>
      <c r="T50" s="6"/>
      <c r="U50" s="6"/>
      <c r="V50" s="5"/>
    </row>
    <row r="51" spans="1:22" ht="15.75" x14ac:dyDescent="0.25">
      <c r="A51" s="1"/>
      <c r="B51" s="3"/>
      <c r="C51" s="221"/>
      <c r="D51" s="220" t="s">
        <v>51</v>
      </c>
      <c r="E51" s="29"/>
      <c r="F51" s="29"/>
      <c r="G51" s="29"/>
      <c r="H51" s="253"/>
      <c r="I51" s="253"/>
      <c r="J51" s="253"/>
      <c r="K51" s="4"/>
      <c r="L51" s="4"/>
      <c r="M51" s="4"/>
      <c r="N51" s="4"/>
      <c r="O51" s="4"/>
      <c r="P51" s="4"/>
      <c r="Q51" s="4"/>
      <c r="R51" s="4"/>
      <c r="S51" s="32"/>
      <c r="T51" s="4"/>
      <c r="U51" s="4"/>
      <c r="V51" s="5"/>
    </row>
    <row r="52" spans="1:22" ht="15.75" x14ac:dyDescent="0.25">
      <c r="A52" s="1"/>
      <c r="B52" s="3"/>
      <c r="C52" s="228">
        <v>34</v>
      </c>
      <c r="D52" s="223" t="s">
        <v>52</v>
      </c>
      <c r="E52" s="33"/>
      <c r="F52" s="20"/>
      <c r="G52" s="31"/>
      <c r="H52" s="254"/>
      <c r="I52" s="251"/>
      <c r="J52" s="251"/>
      <c r="K52" s="4"/>
      <c r="L52" s="4"/>
      <c r="M52" s="4"/>
      <c r="N52" s="4"/>
      <c r="O52" s="4"/>
      <c r="P52" s="4"/>
      <c r="Q52" s="4"/>
      <c r="R52" s="4"/>
      <c r="S52" s="6"/>
      <c r="T52" s="4"/>
      <c r="U52" s="4"/>
      <c r="V52" s="5"/>
    </row>
    <row r="53" spans="1:22" ht="15.75" x14ac:dyDescent="0.25">
      <c r="A53" s="1"/>
      <c r="B53" s="3"/>
      <c r="C53" s="229">
        <v>35</v>
      </c>
      <c r="D53" s="224" t="s">
        <v>186</v>
      </c>
      <c r="E53" s="33"/>
      <c r="F53" s="20"/>
      <c r="G53" s="31"/>
      <c r="H53" s="255"/>
      <c r="I53" s="252"/>
      <c r="J53" s="252"/>
      <c r="K53" s="4"/>
      <c r="L53" s="4"/>
      <c r="M53" s="4"/>
      <c r="N53" s="4"/>
      <c r="O53" s="4"/>
      <c r="P53" s="4"/>
      <c r="Q53" s="4"/>
      <c r="R53" s="4"/>
      <c r="S53" s="6"/>
      <c r="T53" s="4"/>
      <c r="U53" s="4"/>
      <c r="V53" s="5"/>
    </row>
    <row r="54" spans="1:22" ht="15.75" x14ac:dyDescent="0.25">
      <c r="A54" s="1"/>
      <c r="B54" s="3"/>
      <c r="C54" s="229">
        <v>36</v>
      </c>
      <c r="D54" s="224" t="s">
        <v>187</v>
      </c>
      <c r="E54" s="33"/>
      <c r="F54" s="20"/>
      <c r="G54" s="31"/>
      <c r="H54" s="255"/>
      <c r="I54" s="252"/>
      <c r="J54" s="252"/>
      <c r="K54" s="4"/>
      <c r="L54" s="4"/>
      <c r="M54" s="4"/>
      <c r="N54" s="4"/>
      <c r="O54" s="4"/>
      <c r="P54" s="4"/>
      <c r="Q54" s="4"/>
      <c r="R54" s="4"/>
      <c r="S54" s="6"/>
      <c r="T54" s="4"/>
      <c r="U54" s="4"/>
      <c r="V54" s="5"/>
    </row>
    <row r="55" spans="1:22" ht="15.75" x14ac:dyDescent="0.25">
      <c r="A55" s="1"/>
      <c r="B55" s="3"/>
      <c r="C55" s="229">
        <v>37</v>
      </c>
      <c r="D55" s="224" t="s">
        <v>188</v>
      </c>
      <c r="E55" s="33"/>
      <c r="F55" s="20"/>
      <c r="G55" s="31"/>
      <c r="H55" s="255"/>
      <c r="I55" s="252"/>
      <c r="J55" s="252"/>
      <c r="K55" s="4"/>
      <c r="L55" s="4"/>
      <c r="M55" s="4"/>
      <c r="N55" s="4"/>
      <c r="O55" s="4"/>
      <c r="P55" s="4"/>
      <c r="Q55" s="4"/>
      <c r="R55" s="4"/>
      <c r="S55" s="6"/>
      <c r="T55" s="4"/>
      <c r="U55" s="4"/>
      <c r="V55" s="5"/>
    </row>
    <row r="56" spans="1:22" ht="15.75" x14ac:dyDescent="0.25">
      <c r="A56" s="1"/>
      <c r="B56" s="3"/>
      <c r="C56" s="229">
        <v>38</v>
      </c>
      <c r="D56" s="224" t="s">
        <v>189</v>
      </c>
      <c r="E56" s="33"/>
      <c r="F56" s="20"/>
      <c r="G56" s="31"/>
      <c r="H56" s="255"/>
      <c r="I56" s="252"/>
      <c r="J56" s="252"/>
      <c r="K56" s="4"/>
      <c r="L56" s="6"/>
      <c r="M56" s="6"/>
      <c r="N56" s="6"/>
      <c r="O56" s="6"/>
      <c r="P56" s="6"/>
      <c r="Q56" s="6"/>
      <c r="R56" s="6"/>
      <c r="S56" s="6"/>
      <c r="T56" s="6"/>
      <c r="U56" s="6"/>
      <c r="V56" s="5"/>
    </row>
    <row r="57" spans="1:22" ht="15.75" x14ac:dyDescent="0.25">
      <c r="A57" s="1"/>
      <c r="B57" s="3"/>
      <c r="C57" s="229">
        <v>39</v>
      </c>
      <c r="D57" s="232" t="s">
        <v>53</v>
      </c>
      <c r="E57" s="33"/>
      <c r="F57" s="20"/>
      <c r="G57" s="31"/>
      <c r="H57" s="255"/>
      <c r="I57" s="252"/>
      <c r="J57" s="252"/>
      <c r="K57" s="4"/>
      <c r="L57" s="6"/>
      <c r="M57" s="6"/>
      <c r="N57" s="6"/>
      <c r="O57" s="6"/>
      <c r="P57" s="6"/>
      <c r="Q57" s="6"/>
      <c r="R57" s="6"/>
      <c r="S57" s="6"/>
      <c r="T57" s="6"/>
      <c r="U57" s="6"/>
      <c r="V57" s="5"/>
    </row>
    <row r="58" spans="1:22" ht="15.75" x14ac:dyDescent="0.25">
      <c r="A58" s="1"/>
      <c r="B58" s="3"/>
      <c r="C58" s="229">
        <v>40</v>
      </c>
      <c r="D58" s="232" t="s">
        <v>54</v>
      </c>
      <c r="E58" s="33"/>
      <c r="F58" s="20"/>
      <c r="G58" s="31"/>
      <c r="H58" s="255"/>
      <c r="I58" s="252"/>
      <c r="J58" s="252"/>
      <c r="K58" s="4"/>
      <c r="L58" s="34"/>
      <c r="M58" s="34"/>
      <c r="N58" s="34"/>
      <c r="O58" s="34"/>
      <c r="P58" s="34"/>
      <c r="Q58" s="34"/>
      <c r="R58" s="34"/>
      <c r="S58" s="34"/>
      <c r="T58" s="34"/>
      <c r="U58" s="34"/>
      <c r="V58" s="5"/>
    </row>
    <row r="59" spans="1:22" ht="15.75" x14ac:dyDescent="0.25">
      <c r="A59" s="1"/>
      <c r="B59" s="3"/>
      <c r="C59" s="229">
        <v>41</v>
      </c>
      <c r="D59" s="224" t="s">
        <v>55</v>
      </c>
      <c r="E59" s="33"/>
      <c r="F59" s="20"/>
      <c r="G59" s="31"/>
      <c r="H59" s="255"/>
      <c r="I59" s="252"/>
      <c r="J59" s="252"/>
      <c r="K59" s="4"/>
      <c r="L59" s="34"/>
      <c r="M59" s="34"/>
      <c r="N59" s="34"/>
      <c r="O59" s="34"/>
      <c r="P59" s="34"/>
      <c r="Q59" s="34"/>
      <c r="R59" s="34"/>
      <c r="S59" s="34"/>
      <c r="T59" s="34"/>
      <c r="U59" s="34"/>
      <c r="V59" s="5"/>
    </row>
    <row r="60" spans="1:22" ht="15.75" x14ac:dyDescent="0.25">
      <c r="A60" s="1"/>
      <c r="B60" s="3"/>
      <c r="C60" s="230">
        <v>42</v>
      </c>
      <c r="D60" s="225" t="s">
        <v>56</v>
      </c>
      <c r="E60" s="20"/>
      <c r="F60" s="20"/>
      <c r="G60" s="31"/>
      <c r="H60" s="255"/>
      <c r="I60" s="252"/>
      <c r="J60" s="252"/>
      <c r="K60" s="4"/>
      <c r="L60" s="34"/>
      <c r="M60" s="34"/>
      <c r="N60" s="34"/>
      <c r="O60" s="34"/>
      <c r="P60" s="34"/>
      <c r="Q60" s="34"/>
      <c r="R60" s="34"/>
      <c r="S60" s="34"/>
      <c r="T60" s="34"/>
      <c r="U60" s="34"/>
      <c r="V60" s="5"/>
    </row>
    <row r="61" spans="1:22" ht="15.75" x14ac:dyDescent="0.25">
      <c r="A61" s="1"/>
      <c r="B61" s="3"/>
      <c r="C61" s="7"/>
      <c r="D61" s="135"/>
      <c r="E61" s="29"/>
      <c r="F61" s="29"/>
      <c r="G61" s="29"/>
      <c r="H61" s="4"/>
      <c r="I61" s="4"/>
      <c r="J61" s="4"/>
      <c r="K61" s="4"/>
      <c r="L61" s="34"/>
      <c r="M61" s="34"/>
      <c r="N61" s="34"/>
      <c r="O61" s="34"/>
      <c r="P61" s="34"/>
      <c r="Q61" s="34"/>
      <c r="R61" s="34"/>
      <c r="S61" s="34"/>
      <c r="T61" s="34"/>
      <c r="U61" s="34"/>
      <c r="V61" s="5"/>
    </row>
    <row r="62" spans="1:22" ht="15.75" x14ac:dyDescent="0.25">
      <c r="A62" s="1"/>
      <c r="B62" s="3"/>
      <c r="C62" s="35"/>
      <c r="D62" s="138"/>
      <c r="E62" s="29"/>
      <c r="F62" s="29"/>
      <c r="G62" s="29"/>
      <c r="H62" s="4"/>
      <c r="I62" s="4"/>
      <c r="J62" s="4"/>
      <c r="K62" s="4"/>
      <c r="L62" s="4"/>
      <c r="M62" s="4"/>
      <c r="N62" s="4"/>
      <c r="O62" s="4"/>
      <c r="P62" s="4"/>
      <c r="Q62" s="4"/>
      <c r="R62" s="4"/>
      <c r="S62" s="6"/>
      <c r="T62" s="4"/>
      <c r="U62" s="4"/>
      <c r="V62" s="5"/>
    </row>
    <row r="63" spans="1:22" ht="15.75" x14ac:dyDescent="0.25">
      <c r="A63" s="1"/>
      <c r="B63" s="3"/>
      <c r="C63" s="217"/>
      <c r="D63" s="216" t="s">
        <v>57</v>
      </c>
      <c r="E63" s="29"/>
      <c r="F63" s="29"/>
      <c r="G63" s="29"/>
      <c r="H63" s="4"/>
      <c r="I63" s="4"/>
      <c r="J63" s="4"/>
      <c r="K63" s="4"/>
      <c r="L63" s="4"/>
      <c r="M63" s="4"/>
      <c r="N63" s="4"/>
      <c r="O63" s="4"/>
      <c r="P63" s="4"/>
      <c r="Q63" s="4"/>
      <c r="R63" s="4"/>
      <c r="S63" s="6"/>
      <c r="T63" s="4"/>
      <c r="U63" s="4"/>
      <c r="V63" s="5"/>
    </row>
    <row r="64" spans="1:22" ht="15.75" x14ac:dyDescent="0.25">
      <c r="A64" s="1"/>
      <c r="B64" s="3"/>
      <c r="C64" s="19">
        <v>43</v>
      </c>
      <c r="D64" s="223" t="s">
        <v>58</v>
      </c>
      <c r="E64" s="20"/>
      <c r="F64" s="122"/>
      <c r="G64" s="31"/>
      <c r="H64" s="30"/>
      <c r="I64" s="233"/>
      <c r="J64" s="20"/>
      <c r="K64" s="4"/>
      <c r="L64" s="4"/>
      <c r="M64" s="4"/>
      <c r="N64" s="4"/>
      <c r="O64" s="4"/>
      <c r="P64" s="4"/>
      <c r="Q64" s="4"/>
      <c r="R64" s="4"/>
      <c r="S64" s="4"/>
      <c r="T64" s="4"/>
      <c r="U64" s="4"/>
      <c r="V64" s="5"/>
    </row>
    <row r="65" spans="1:22" ht="15.75" x14ac:dyDescent="0.25">
      <c r="A65" s="1"/>
      <c r="B65" s="3"/>
      <c r="C65" s="26">
        <v>44</v>
      </c>
      <c r="D65" s="224" t="s">
        <v>59</v>
      </c>
      <c r="E65" s="20"/>
      <c r="F65" s="122"/>
      <c r="G65" s="31"/>
      <c r="H65" s="30"/>
      <c r="I65" s="233"/>
      <c r="J65" s="20"/>
      <c r="K65" s="4"/>
      <c r="L65" s="4"/>
      <c r="M65" s="4"/>
      <c r="N65" s="4"/>
      <c r="O65" s="4"/>
      <c r="P65" s="4"/>
      <c r="Q65" s="4"/>
      <c r="R65" s="4"/>
      <c r="S65" s="4"/>
      <c r="T65" s="4"/>
      <c r="U65" s="4"/>
      <c r="V65" s="5"/>
    </row>
    <row r="66" spans="1:22" ht="15.75" x14ac:dyDescent="0.25">
      <c r="A66" s="1"/>
      <c r="B66" s="3"/>
      <c r="C66" s="26">
        <v>45</v>
      </c>
      <c r="D66" s="224" t="s">
        <v>60</v>
      </c>
      <c r="E66" s="20"/>
      <c r="F66" s="122"/>
      <c r="G66" s="31"/>
      <c r="H66" s="30"/>
      <c r="I66" s="233"/>
      <c r="J66" s="20"/>
      <c r="K66" s="4"/>
      <c r="L66" s="4"/>
      <c r="M66" s="4"/>
      <c r="N66" s="4"/>
      <c r="O66" s="4"/>
      <c r="P66" s="4"/>
      <c r="Q66" s="4"/>
      <c r="R66" s="4"/>
      <c r="S66" s="4"/>
      <c r="T66" s="4"/>
      <c r="U66" s="4"/>
      <c r="V66" s="5"/>
    </row>
    <row r="67" spans="1:22" ht="15.75" x14ac:dyDescent="0.25">
      <c r="A67" s="1"/>
      <c r="B67" s="3"/>
      <c r="C67" s="28">
        <v>46</v>
      </c>
      <c r="D67" s="225" t="s">
        <v>61</v>
      </c>
      <c r="E67" s="20"/>
      <c r="F67" s="122"/>
      <c r="G67" s="31"/>
      <c r="H67" s="30"/>
      <c r="I67" s="233"/>
      <c r="J67" s="20"/>
      <c r="K67" s="4"/>
      <c r="L67" s="4"/>
      <c r="M67" s="4"/>
      <c r="N67" s="4"/>
      <c r="O67" s="4"/>
      <c r="P67" s="4"/>
      <c r="Q67" s="4"/>
      <c r="R67" s="4"/>
      <c r="S67" s="4"/>
      <c r="T67" s="4"/>
      <c r="U67" s="4"/>
      <c r="V67" s="5"/>
    </row>
    <row r="68" spans="1:22" ht="15.75" x14ac:dyDescent="0.25">
      <c r="A68" s="1"/>
      <c r="B68" s="3"/>
      <c r="C68" s="38"/>
      <c r="D68" s="139"/>
      <c r="E68" s="18" t="s">
        <v>62</v>
      </c>
      <c r="F68" s="18" t="s">
        <v>6</v>
      </c>
      <c r="G68" s="18"/>
      <c r="H68" s="18" t="s">
        <v>10</v>
      </c>
      <c r="I68" s="18" t="s">
        <v>11</v>
      </c>
      <c r="J68" s="18" t="s">
        <v>9</v>
      </c>
      <c r="K68" s="4"/>
      <c r="L68" s="4"/>
      <c r="M68" s="4"/>
      <c r="N68" s="4"/>
      <c r="O68" s="4"/>
      <c r="P68" s="4"/>
      <c r="Q68" s="4"/>
      <c r="R68" s="4"/>
      <c r="S68" s="4"/>
      <c r="T68" s="4"/>
      <c r="U68" s="4"/>
      <c r="V68" s="5"/>
    </row>
    <row r="69" spans="1:22" ht="15.75" x14ac:dyDescent="0.25">
      <c r="A69" s="1"/>
      <c r="B69" s="3"/>
      <c r="C69" s="40"/>
      <c r="D69" s="222" t="s">
        <v>63</v>
      </c>
      <c r="E69" s="17">
        <f t="shared" ref="E69:J69" si="0">COUNTA(E13:E67)</f>
        <v>0</v>
      </c>
      <c r="F69" s="41">
        <f t="shared" si="0"/>
        <v>0</v>
      </c>
      <c r="G69" s="42">
        <f t="shared" si="0"/>
        <v>0</v>
      </c>
      <c r="H69" s="17">
        <f t="shared" si="0"/>
        <v>0</v>
      </c>
      <c r="I69" s="17">
        <f t="shared" si="0"/>
        <v>0</v>
      </c>
      <c r="J69" s="17">
        <f t="shared" si="0"/>
        <v>0</v>
      </c>
      <c r="K69" s="4"/>
      <c r="L69" s="4"/>
      <c r="M69" s="4"/>
      <c r="N69" s="4"/>
      <c r="O69" s="4"/>
      <c r="P69" s="4"/>
      <c r="Q69" s="4"/>
      <c r="R69" s="4"/>
      <c r="S69" s="4"/>
      <c r="T69" s="4"/>
      <c r="U69" s="4"/>
      <c r="V69" s="5"/>
    </row>
    <row r="70" spans="1:22" s="39" customFormat="1" ht="15.75" x14ac:dyDescent="0.25">
      <c r="A70" s="36"/>
      <c r="B70" s="37"/>
      <c r="C70" s="7"/>
      <c r="D70" s="135"/>
      <c r="E70" s="7"/>
      <c r="F70" s="7"/>
      <c r="G70" s="7"/>
      <c r="H70" s="4"/>
      <c r="I70" s="4"/>
      <c r="J70" s="4"/>
      <c r="K70" s="13"/>
      <c r="L70" s="13"/>
      <c r="M70" s="13"/>
      <c r="N70" s="13"/>
      <c r="O70" s="13"/>
      <c r="P70" s="13"/>
      <c r="Q70" s="13"/>
      <c r="R70" s="13"/>
      <c r="S70" s="13"/>
      <c r="T70" s="13"/>
      <c r="U70" s="13"/>
      <c r="V70" s="14"/>
    </row>
    <row r="71" spans="1:22" ht="15.75" x14ac:dyDescent="0.25">
      <c r="A71" s="1"/>
      <c r="B71" s="3"/>
      <c r="C71" s="40"/>
      <c r="D71" s="192" t="s">
        <v>64</v>
      </c>
      <c r="E71" s="43" t="e">
        <f>E69/(E69+J69)</f>
        <v>#DIV/0!</v>
      </c>
      <c r="F71" s="44" t="e">
        <f>IF(OR(F23&gt;0),0,E71)</f>
        <v>#DIV/0!</v>
      </c>
      <c r="G71" s="45"/>
      <c r="H71" s="46"/>
      <c r="I71" s="46"/>
      <c r="J71" s="46"/>
      <c r="K71" s="4"/>
      <c r="L71" s="4"/>
      <c r="M71" s="4"/>
      <c r="N71" s="4"/>
      <c r="O71" s="4"/>
      <c r="P71" s="4"/>
      <c r="Q71" s="4"/>
      <c r="R71" s="4"/>
      <c r="S71" s="4"/>
      <c r="T71" s="4"/>
      <c r="U71" s="4"/>
      <c r="V71" s="5"/>
    </row>
    <row r="72" spans="1:22" x14ac:dyDescent="0.25">
      <c r="A72" s="1"/>
      <c r="B72" s="3"/>
      <c r="C72" s="7"/>
      <c r="D72" s="4"/>
      <c r="E72" s="7"/>
      <c r="F72" s="7"/>
      <c r="G72" s="7"/>
      <c r="H72" s="4"/>
      <c r="I72" s="4"/>
      <c r="J72" s="4"/>
      <c r="K72" s="4"/>
      <c r="L72" s="4"/>
      <c r="M72" s="4"/>
      <c r="N72" s="4"/>
      <c r="O72" s="4"/>
      <c r="P72" s="4"/>
      <c r="Q72" s="4"/>
      <c r="R72" s="4"/>
      <c r="S72" s="4"/>
      <c r="T72" s="4"/>
      <c r="U72" s="4"/>
      <c r="V72" s="5"/>
    </row>
    <row r="73" spans="1:22" ht="15" customHeight="1" x14ac:dyDescent="0.25">
      <c r="A73" s="1"/>
      <c r="B73" s="3"/>
      <c r="C73" s="7"/>
      <c r="D73" s="4"/>
      <c r="E73" s="7"/>
      <c r="F73" s="7"/>
      <c r="G73" s="7"/>
      <c r="H73" s="4"/>
      <c r="I73" s="4"/>
      <c r="J73" s="4"/>
      <c r="K73" s="4"/>
      <c r="L73" s="6"/>
      <c r="M73" s="6"/>
      <c r="N73" s="6"/>
      <c r="O73" s="6"/>
      <c r="P73" s="6"/>
      <c r="Q73" s="6"/>
      <c r="R73" s="6"/>
      <c r="S73" s="6"/>
      <c r="T73" s="6"/>
      <c r="U73" s="6"/>
      <c r="V73" s="5"/>
    </row>
    <row r="74" spans="1:22" ht="15" customHeight="1" x14ac:dyDescent="0.25">
      <c r="A74" s="1"/>
      <c r="B74" s="3"/>
      <c r="C74" s="7"/>
      <c r="D74" s="4"/>
      <c r="E74" s="7"/>
      <c r="F74" s="7"/>
      <c r="G74" s="7"/>
      <c r="H74" s="4"/>
      <c r="I74" s="4"/>
      <c r="J74" s="4"/>
      <c r="K74" s="4"/>
      <c r="L74" s="6"/>
      <c r="M74" s="6"/>
      <c r="N74" s="6"/>
      <c r="O74" s="6"/>
      <c r="P74" s="6"/>
      <c r="Q74" s="6"/>
      <c r="R74" s="6"/>
      <c r="S74" s="6"/>
      <c r="T74" s="6"/>
      <c r="U74" s="6"/>
      <c r="V74" s="5"/>
    </row>
    <row r="75" spans="1:22" ht="15.75" thickBot="1" x14ac:dyDescent="0.3">
      <c r="A75" s="1"/>
      <c r="B75" s="47"/>
      <c r="C75" s="48"/>
      <c r="D75" s="49"/>
      <c r="E75" s="48"/>
      <c r="F75" s="48"/>
      <c r="G75" s="48"/>
      <c r="H75" s="49"/>
      <c r="I75" s="49"/>
      <c r="J75" s="49"/>
      <c r="K75" s="49"/>
      <c r="L75" s="49"/>
      <c r="M75" s="49"/>
      <c r="N75" s="49"/>
      <c r="O75" s="49"/>
      <c r="P75" s="49"/>
      <c r="Q75" s="49"/>
      <c r="R75" s="49"/>
      <c r="S75" s="49"/>
      <c r="T75" s="49"/>
      <c r="U75" s="49"/>
      <c r="V75" s="50"/>
    </row>
    <row r="76" spans="1:22" x14ac:dyDescent="0.25">
      <c r="A76" s="1"/>
      <c r="B76" s="1"/>
      <c r="C76" s="2"/>
      <c r="D76" s="2"/>
      <c r="E76" s="2"/>
      <c r="F76" s="2"/>
      <c r="G76" s="2"/>
      <c r="H76" s="2"/>
      <c r="I76" s="2"/>
      <c r="J76" s="2"/>
      <c r="K76" s="1"/>
      <c r="L76" s="2"/>
      <c r="V76" s="1"/>
    </row>
    <row r="77" spans="1:22" s="2" customFormat="1" x14ac:dyDescent="0.25">
      <c r="A77" s="1"/>
      <c r="B77" s="1"/>
      <c r="K77" s="1"/>
      <c r="V77" s="1"/>
    </row>
    <row r="78" spans="1:22" s="2" customFormat="1" x14ac:dyDescent="0.25">
      <c r="A78" s="1"/>
      <c r="B78" s="1"/>
      <c r="K78" s="1"/>
      <c r="V78" s="1"/>
    </row>
    <row r="79" spans="1:22" s="2" customFormat="1" x14ac:dyDescent="0.25"/>
    <row r="80" spans="1:22" s="2" customFormat="1" x14ac:dyDescent="0.25">
      <c r="D80" s="11"/>
    </row>
    <row r="81" spans="3:10" s="2" customFormat="1" x14ac:dyDescent="0.25">
      <c r="C81" s="11"/>
      <c r="D81" s="11"/>
      <c r="E81" s="11"/>
      <c r="F81" s="11"/>
      <c r="G81" s="11"/>
      <c r="H81" s="11"/>
      <c r="I81" s="11"/>
      <c r="J81" s="11"/>
    </row>
    <row r="82" spans="3:10" s="2" customFormat="1" x14ac:dyDescent="0.25">
      <c r="C82" s="11"/>
      <c r="D82" s="11"/>
      <c r="E82" s="11"/>
      <c r="F82" s="11"/>
      <c r="G82" s="11"/>
      <c r="H82" s="11"/>
      <c r="I82" s="11"/>
      <c r="J82" s="11"/>
    </row>
    <row r="83" spans="3:10" s="2" customFormat="1" x14ac:dyDescent="0.25">
      <c r="C83" s="11"/>
      <c r="D83" s="11"/>
      <c r="E83" s="11"/>
      <c r="F83" s="11"/>
      <c r="G83" s="11"/>
      <c r="H83" s="11"/>
      <c r="I83" s="11"/>
      <c r="J83" s="11"/>
    </row>
    <row r="84" spans="3:10" s="2" customFormat="1" x14ac:dyDescent="0.25">
      <c r="C84" s="11"/>
      <c r="D84" s="11"/>
      <c r="E84" s="11"/>
      <c r="F84" s="11"/>
      <c r="G84" s="11"/>
      <c r="H84" s="11"/>
      <c r="I84" s="11"/>
      <c r="J84" s="11"/>
    </row>
    <row r="85" spans="3:10" s="2" customFormat="1" x14ac:dyDescent="0.25">
      <c r="C85" s="11"/>
      <c r="D85" s="11"/>
      <c r="E85" s="11"/>
      <c r="F85" s="11"/>
      <c r="G85" s="11"/>
      <c r="H85" s="11"/>
      <c r="I85" s="11"/>
      <c r="J85" s="11"/>
    </row>
    <row r="86" spans="3:10" s="2" customFormat="1" x14ac:dyDescent="0.25">
      <c r="C86" s="11"/>
      <c r="D86" s="11"/>
      <c r="E86" s="11"/>
      <c r="F86" s="11"/>
      <c r="G86" s="11"/>
      <c r="H86" s="11"/>
      <c r="I86" s="11"/>
      <c r="J86" s="11"/>
    </row>
    <row r="87" spans="3:10" s="2" customFormat="1" x14ac:dyDescent="0.25">
      <c r="C87" s="11"/>
      <c r="D87" s="11"/>
      <c r="E87" s="11"/>
      <c r="F87" s="11"/>
      <c r="G87" s="11"/>
      <c r="H87" s="11"/>
      <c r="I87" s="11"/>
      <c r="J87" s="11"/>
    </row>
    <row r="88" spans="3:10" s="2" customFormat="1" x14ac:dyDescent="0.25">
      <c r="C88" s="11"/>
      <c r="D88" s="11"/>
      <c r="E88" s="11"/>
      <c r="F88" s="11"/>
      <c r="G88" s="11"/>
      <c r="H88" s="11"/>
      <c r="I88" s="11"/>
      <c r="J88" s="11"/>
    </row>
  </sheetData>
  <customSheetViews>
    <customSheetView guid="{235E8A25-1CC1-4E7F-AA7E-38EA0DEEA9DB}" scale="70" fitToPage="1" topLeftCell="A7">
      <selection activeCell="L24" sqref="L24:U24"/>
      <pageMargins left="0.70866141732283472" right="0.70866141732283472" top="0.74803149606299213" bottom="0.74803149606299213" header="0.31496062992125984" footer="0.31496062992125984"/>
      <pageSetup paperSize="9" scale="35" orientation="portrait" r:id="rId1"/>
    </customSheetView>
    <customSheetView guid="{69240C63-12B7-470F-8204-BD04727BB980}" scale="70" fitToPage="1">
      <selection activeCell="D12" sqref="D12"/>
      <pageMargins left="0.70866141732283472" right="0.70866141732283472" top="0.74803149606299213" bottom="0.74803149606299213" header="0.31496062992125984" footer="0.31496062992125984"/>
      <pageSetup paperSize="9" scale="35" orientation="portrait" r:id="rId2"/>
    </customSheetView>
  </customSheetViews>
  <mergeCells count="9">
    <mergeCell ref="L24:U24"/>
    <mergeCell ref="B3:V3"/>
    <mergeCell ref="L13:O13"/>
    <mergeCell ref="L14:O14"/>
    <mergeCell ref="L16:O16"/>
    <mergeCell ref="L23:U23"/>
    <mergeCell ref="B6:C6"/>
    <mergeCell ref="B8:C8"/>
    <mergeCell ref="B10:C10"/>
  </mergeCells>
  <pageMargins left="0.70866141732283472" right="0.70866141732283472" top="0.74803149606299213" bottom="0.74803149606299213" header="0.31496062992125984" footer="0.31496062992125984"/>
  <pageSetup paperSize="9" scale="3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58" r:id="rId6" name="Button 34">
              <controlPr defaultSize="0" print="0" autoFill="0" autoPict="0" macro="[0]!Button34_Click">
                <anchor moveWithCells="1" sizeWithCells="1">
                  <from>
                    <xdr:col>10</xdr:col>
                    <xdr:colOff>190500</xdr:colOff>
                    <xdr:row>4</xdr:row>
                    <xdr:rowOff>228600</xdr:rowOff>
                  </from>
                  <to>
                    <xdr:col>14</xdr:col>
                    <xdr:colOff>57150</xdr:colOff>
                    <xdr:row>7</xdr:row>
                    <xdr:rowOff>28575</xdr:rowOff>
                  </to>
                </anchor>
              </controlPr>
            </control>
          </mc:Choice>
        </mc:AlternateContent>
        <mc:AlternateContent xmlns:mc="http://schemas.openxmlformats.org/markup-compatibility/2006">
          <mc:Choice Requires="x14">
            <control shapeId="1059" r:id="rId7" name="Button 35">
              <controlPr defaultSize="0" print="0" autoFill="0" autoPict="0" macro="[0]!Button35_Click">
                <anchor moveWithCells="1" sizeWithCells="1">
                  <from>
                    <xdr:col>14</xdr:col>
                    <xdr:colOff>514350</xdr:colOff>
                    <xdr:row>4</xdr:row>
                    <xdr:rowOff>219075</xdr:rowOff>
                  </from>
                  <to>
                    <xdr:col>19</xdr:col>
                    <xdr:colOff>200025</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K67"/>
  <sheetViews>
    <sheetView topLeftCell="A4" zoomScale="70" zoomScaleNormal="70" workbookViewId="0">
      <selection activeCell="D6" sqref="D6"/>
    </sheetView>
  </sheetViews>
  <sheetFormatPr defaultRowHeight="15" x14ac:dyDescent="0.25"/>
  <cols>
    <col min="1" max="1" width="9.140625" style="95"/>
    <col min="2" max="2" width="20" customWidth="1"/>
    <col min="3" max="3" width="5.140625" customWidth="1"/>
    <col min="4" max="4" width="130.140625" customWidth="1"/>
    <col min="5" max="6" width="10.140625" bestFit="1" customWidth="1"/>
    <col min="7" max="7" width="8.140625" customWidth="1"/>
    <col min="9" max="9" width="10.7109375" customWidth="1"/>
    <col min="10" max="10" width="10.140625" customWidth="1"/>
    <col min="22" max="22" width="10" style="95" customWidth="1"/>
    <col min="23" max="23" width="9.140625" style="95"/>
    <col min="24" max="24" width="42" customWidth="1"/>
  </cols>
  <sheetData>
    <row r="1" spans="1:37" s="95" customFormat="1" x14ac:dyDescent="0.25"/>
    <row r="2" spans="1:37" s="95" customFormat="1" ht="15.75" thickBot="1" x14ac:dyDescent="0.3">
      <c r="A2" s="96" t="s">
        <v>291</v>
      </c>
    </row>
    <row r="3" spans="1:37" ht="24" customHeight="1" x14ac:dyDescent="0.25">
      <c r="B3" s="97"/>
      <c r="C3" s="98"/>
      <c r="D3" s="98"/>
      <c r="E3" s="98"/>
      <c r="F3" s="98"/>
      <c r="G3" s="98"/>
      <c r="H3" s="98"/>
      <c r="I3" s="98"/>
      <c r="J3" s="98"/>
      <c r="K3" s="98"/>
      <c r="L3" s="98"/>
      <c r="M3" s="98"/>
      <c r="N3" s="98"/>
      <c r="O3" s="98"/>
      <c r="P3" s="98"/>
      <c r="Q3" s="98"/>
      <c r="R3" s="98"/>
      <c r="S3" s="98"/>
      <c r="T3" s="98"/>
      <c r="U3" s="98"/>
      <c r="V3" s="150"/>
    </row>
    <row r="4" spans="1:37" ht="23.25" x14ac:dyDescent="0.35">
      <c r="B4" s="99"/>
      <c r="C4" s="94"/>
      <c r="D4" s="282" t="s">
        <v>249</v>
      </c>
      <c r="E4" s="282"/>
      <c r="F4" s="282"/>
      <c r="G4" s="282"/>
      <c r="H4" s="282"/>
      <c r="I4" s="282"/>
      <c r="J4" s="282"/>
      <c r="K4" s="282"/>
      <c r="L4" s="282"/>
      <c r="M4" s="282"/>
      <c r="N4" s="282"/>
      <c r="O4" s="282"/>
      <c r="P4" s="282"/>
      <c r="Q4" s="282"/>
      <c r="R4" s="282"/>
      <c r="S4" s="282"/>
      <c r="T4" s="282"/>
      <c r="U4" s="282"/>
      <c r="V4" s="151"/>
    </row>
    <row r="5" spans="1:37" ht="39" customHeight="1" x14ac:dyDescent="0.25">
      <c r="B5" s="99"/>
      <c r="C5" s="94"/>
      <c r="D5" s="94"/>
      <c r="E5" s="94"/>
      <c r="F5" s="94"/>
      <c r="G5" s="94"/>
      <c r="H5" s="94"/>
      <c r="I5" s="94"/>
      <c r="J5" s="94"/>
      <c r="K5" s="94"/>
      <c r="L5" s="94"/>
      <c r="M5" s="94"/>
      <c r="N5" s="94"/>
      <c r="O5" s="94"/>
      <c r="P5" s="94"/>
      <c r="Q5" s="94"/>
      <c r="R5" s="94"/>
      <c r="S5" s="94"/>
      <c r="T5" s="94"/>
      <c r="U5" s="94"/>
      <c r="V5" s="151"/>
    </row>
    <row r="6" spans="1:37" ht="23.25" x14ac:dyDescent="0.35">
      <c r="B6" s="3"/>
      <c r="C6" s="152" t="s">
        <v>1</v>
      </c>
      <c r="D6" s="108"/>
      <c r="E6" s="7"/>
      <c r="F6" s="7"/>
      <c r="G6" s="7"/>
      <c r="H6" s="4"/>
      <c r="I6" s="4"/>
      <c r="J6" s="4"/>
      <c r="K6" s="4"/>
      <c r="L6" s="4"/>
      <c r="M6" s="4"/>
      <c r="N6" s="4"/>
      <c r="O6" s="4"/>
      <c r="P6" s="4"/>
      <c r="Q6" s="4"/>
      <c r="R6" s="4"/>
      <c r="S6" s="4"/>
      <c r="T6" s="4"/>
      <c r="U6" s="4"/>
      <c r="V6" s="151"/>
    </row>
    <row r="7" spans="1:37" x14ac:dyDescent="0.25">
      <c r="B7" s="3"/>
      <c r="C7" s="153"/>
      <c r="D7" s="6"/>
      <c r="E7" s="7"/>
      <c r="F7" s="7"/>
      <c r="G7" s="7"/>
      <c r="H7" s="4"/>
      <c r="I7" s="4"/>
      <c r="J7" s="4"/>
      <c r="K7" s="4"/>
      <c r="L7" s="4"/>
      <c r="M7" s="4"/>
      <c r="N7" s="4"/>
      <c r="O7" s="4"/>
      <c r="P7" s="4"/>
      <c r="Q7" s="4"/>
      <c r="R7" s="4"/>
      <c r="S7" s="4"/>
      <c r="T7" s="4"/>
      <c r="U7" s="4"/>
      <c r="V7" s="151"/>
    </row>
    <row r="8" spans="1:37" ht="23.25" x14ac:dyDescent="0.35">
      <c r="B8" s="3"/>
      <c r="C8" s="154" t="s">
        <v>3</v>
      </c>
      <c r="D8" s="134"/>
      <c r="E8" s="7"/>
      <c r="F8" s="7"/>
      <c r="G8" s="7"/>
      <c r="H8" s="4"/>
      <c r="I8" s="4"/>
      <c r="J8" s="4"/>
      <c r="K8" s="4"/>
      <c r="L8" s="4"/>
      <c r="M8" s="4"/>
      <c r="N8" s="4"/>
      <c r="O8" s="4"/>
      <c r="P8" s="4"/>
      <c r="Q8" s="4"/>
      <c r="R8" s="4"/>
      <c r="S8" s="4"/>
      <c r="T8" s="4"/>
      <c r="U8" s="4"/>
      <c r="V8" s="151"/>
    </row>
    <row r="9" spans="1:37" x14ac:dyDescent="0.25">
      <c r="B9" s="3"/>
      <c r="C9" s="153"/>
      <c r="D9" s="6"/>
      <c r="E9" s="7"/>
      <c r="F9" s="7"/>
      <c r="G9" s="7"/>
      <c r="H9" s="4"/>
      <c r="I9" s="4"/>
      <c r="J9" s="4"/>
      <c r="K9" s="4"/>
      <c r="L9" s="4"/>
      <c r="M9" s="4"/>
      <c r="N9" s="4"/>
      <c r="O9" s="4"/>
      <c r="P9" s="4"/>
      <c r="Q9" s="4"/>
      <c r="R9" s="4"/>
      <c r="S9" s="4"/>
      <c r="T9" s="4"/>
      <c r="U9" s="4"/>
      <c r="V9" s="151"/>
      <c r="X9" s="155"/>
    </row>
    <row r="10" spans="1:37" ht="23.25" x14ac:dyDescent="0.35">
      <c r="B10" s="3"/>
      <c r="C10" s="154" t="s">
        <v>250</v>
      </c>
      <c r="D10" s="156"/>
      <c r="E10" s="7"/>
      <c r="F10" s="7"/>
      <c r="G10" s="7"/>
      <c r="H10" s="4"/>
      <c r="I10" s="4"/>
      <c r="J10" s="4"/>
      <c r="K10" s="4"/>
      <c r="L10" s="4"/>
      <c r="M10" s="4"/>
      <c r="N10" s="4"/>
      <c r="O10" s="4"/>
      <c r="P10" s="4"/>
      <c r="Q10" s="4"/>
      <c r="R10" s="4"/>
      <c r="S10" s="4"/>
      <c r="T10" s="4"/>
      <c r="U10" s="13"/>
      <c r="V10" s="100"/>
      <c r="W10" s="96"/>
      <c r="Z10" t="s">
        <v>9</v>
      </c>
    </row>
    <row r="11" spans="1:37" x14ac:dyDescent="0.25">
      <c r="B11" s="3"/>
      <c r="D11" s="7"/>
      <c r="E11" s="7"/>
      <c r="F11" s="7"/>
      <c r="G11" s="7"/>
      <c r="H11" s="4"/>
      <c r="I11" s="4"/>
      <c r="J11" s="4"/>
      <c r="K11" s="4"/>
      <c r="L11" s="4"/>
      <c r="M11" s="4"/>
      <c r="N11" s="4"/>
      <c r="O11" s="4"/>
      <c r="P11" s="4"/>
      <c r="Q11" s="4"/>
      <c r="R11" s="4"/>
      <c r="S11" s="4"/>
      <c r="T11" s="4"/>
      <c r="U11" s="4"/>
      <c r="V11" s="151"/>
      <c r="Z11" t="s">
        <v>9</v>
      </c>
    </row>
    <row r="12" spans="1:37" ht="24" thickBot="1" x14ac:dyDescent="0.4">
      <c r="B12" s="3"/>
      <c r="C12" s="15"/>
      <c r="D12" s="157"/>
      <c r="E12" s="7"/>
      <c r="F12" s="7"/>
      <c r="G12" s="7"/>
      <c r="H12" s="4"/>
      <c r="I12" s="4"/>
      <c r="J12" s="4"/>
      <c r="K12" s="4"/>
      <c r="L12" s="4"/>
      <c r="M12" s="4"/>
      <c r="N12" s="4"/>
      <c r="O12" s="4"/>
      <c r="P12" s="4"/>
      <c r="Q12" s="4"/>
      <c r="R12" s="4"/>
      <c r="S12" s="4"/>
      <c r="T12" s="4"/>
      <c r="U12" s="4"/>
      <c r="V12" s="151"/>
      <c r="Z12" t="s">
        <v>9</v>
      </c>
    </row>
    <row r="13" spans="1:37" ht="16.5" thickBot="1" x14ac:dyDescent="0.3">
      <c r="B13" s="3"/>
      <c r="C13" s="158"/>
      <c r="D13" s="159" t="s">
        <v>251</v>
      </c>
      <c r="E13" s="160" t="s">
        <v>248</v>
      </c>
      <c r="F13" s="160" t="s">
        <v>8</v>
      </c>
      <c r="G13" s="161" t="s">
        <v>9</v>
      </c>
      <c r="H13" s="160" t="s">
        <v>12</v>
      </c>
      <c r="I13" s="160" t="s">
        <v>11</v>
      </c>
      <c r="J13" s="162" t="s">
        <v>10</v>
      </c>
      <c r="K13" s="4"/>
      <c r="L13" s="283" t="s">
        <v>76</v>
      </c>
      <c r="M13" s="284"/>
      <c r="N13" s="284"/>
      <c r="O13" s="284"/>
      <c r="P13" s="284"/>
      <c r="Q13" s="284"/>
      <c r="R13" s="284"/>
      <c r="S13" s="284"/>
      <c r="T13" s="284"/>
      <c r="U13" s="285"/>
      <c r="V13" s="151"/>
    </row>
    <row r="14" spans="1:37" x14ac:dyDescent="0.25">
      <c r="B14" s="3"/>
      <c r="C14" s="19">
        <v>1</v>
      </c>
      <c r="D14" s="163" t="s">
        <v>252</v>
      </c>
      <c r="E14" s="164"/>
      <c r="F14" s="165"/>
      <c r="G14" s="166"/>
      <c r="H14" s="165"/>
      <c r="I14" s="167"/>
      <c r="J14" s="165"/>
      <c r="K14" s="4"/>
      <c r="L14" s="4"/>
      <c r="M14" s="4"/>
      <c r="N14" s="4"/>
      <c r="O14" s="4"/>
      <c r="P14" s="4"/>
      <c r="Q14" s="4"/>
      <c r="R14" s="4"/>
      <c r="S14" s="4"/>
      <c r="T14" s="4"/>
      <c r="U14" s="4"/>
      <c r="V14" s="151"/>
      <c r="X14" s="168"/>
      <c r="Y14" s="168"/>
      <c r="Z14" s="168"/>
      <c r="AA14" s="168"/>
      <c r="AB14" s="168"/>
      <c r="AC14" s="168"/>
      <c r="AD14" s="168"/>
      <c r="AE14" s="168"/>
      <c r="AF14" s="168"/>
      <c r="AG14" s="168"/>
      <c r="AH14" s="168"/>
      <c r="AI14" s="168"/>
      <c r="AJ14" s="168"/>
      <c r="AK14" s="168"/>
    </row>
    <row r="15" spans="1:37" x14ac:dyDescent="0.25">
      <c r="B15" s="3"/>
      <c r="C15" s="26">
        <v>2</v>
      </c>
      <c r="D15" s="169" t="s">
        <v>253</v>
      </c>
      <c r="E15" s="164"/>
      <c r="F15" s="165"/>
      <c r="G15" s="166"/>
      <c r="H15" s="165"/>
      <c r="I15" s="167"/>
      <c r="J15" s="165"/>
      <c r="K15" s="4"/>
      <c r="L15" s="4"/>
      <c r="M15" s="4"/>
      <c r="N15" s="4"/>
      <c r="O15" s="4"/>
      <c r="P15" s="4"/>
      <c r="Q15" s="4"/>
      <c r="R15" s="4"/>
      <c r="S15" s="4"/>
      <c r="T15" s="4"/>
      <c r="U15" s="4"/>
      <c r="V15" s="151"/>
      <c r="X15" s="168"/>
      <c r="Y15" s="168"/>
      <c r="Z15" s="168"/>
      <c r="AA15" s="168"/>
      <c r="AB15" s="168"/>
      <c r="AC15" s="168"/>
      <c r="AD15" s="168"/>
      <c r="AE15" s="168"/>
      <c r="AF15" s="168"/>
      <c r="AG15" s="168"/>
      <c r="AH15" s="168"/>
      <c r="AI15" s="168"/>
      <c r="AJ15" s="168"/>
      <c r="AK15" s="168"/>
    </row>
    <row r="16" spans="1:37" ht="16.5" customHeight="1" x14ac:dyDescent="0.25">
      <c r="B16" s="3"/>
      <c r="C16" s="26">
        <v>3</v>
      </c>
      <c r="D16" s="169" t="s">
        <v>254</v>
      </c>
      <c r="E16" s="164"/>
      <c r="F16" s="165"/>
      <c r="G16" s="166"/>
      <c r="H16" s="165"/>
      <c r="I16" s="167"/>
      <c r="J16" s="165"/>
      <c r="K16" s="4"/>
      <c r="L16" s="4"/>
      <c r="M16" s="4"/>
      <c r="N16" s="4"/>
      <c r="O16" s="4"/>
      <c r="P16" s="4"/>
      <c r="Q16" s="4"/>
      <c r="R16" s="4"/>
      <c r="S16" s="4"/>
      <c r="T16" s="4"/>
      <c r="U16" s="4"/>
      <c r="V16" s="151"/>
      <c r="X16" s="168"/>
      <c r="Y16" s="168"/>
      <c r="Z16" s="168"/>
      <c r="AA16" s="168"/>
      <c r="AB16" s="168"/>
      <c r="AC16" s="168"/>
      <c r="AD16" s="168"/>
      <c r="AE16" s="168"/>
      <c r="AF16" s="168"/>
      <c r="AG16" s="168"/>
      <c r="AH16" s="168"/>
      <c r="AI16" s="168"/>
      <c r="AJ16" s="168"/>
      <c r="AK16" s="168"/>
    </row>
    <row r="17" spans="2:37" ht="16.5" customHeight="1" x14ac:dyDescent="0.25">
      <c r="B17" s="3"/>
      <c r="C17" s="26">
        <v>4</v>
      </c>
      <c r="D17" s="169" t="s">
        <v>255</v>
      </c>
      <c r="E17" s="164"/>
      <c r="F17" s="165"/>
      <c r="G17" s="166"/>
      <c r="H17" s="165"/>
      <c r="I17" s="167"/>
      <c r="J17" s="165"/>
      <c r="K17" s="4"/>
      <c r="L17" s="4"/>
      <c r="M17" s="4"/>
      <c r="N17" s="4"/>
      <c r="O17" s="4"/>
      <c r="P17" s="4"/>
      <c r="Q17" s="4"/>
      <c r="R17" s="4"/>
      <c r="S17" s="4"/>
      <c r="T17" s="4"/>
      <c r="U17" s="4"/>
      <c r="V17" s="151"/>
      <c r="X17" s="168"/>
      <c r="Y17" s="168"/>
      <c r="Z17" s="168"/>
      <c r="AA17" s="168"/>
      <c r="AB17" s="168"/>
      <c r="AC17" s="168"/>
      <c r="AD17" s="168"/>
      <c r="AE17" s="168"/>
      <c r="AF17" s="168"/>
      <c r="AG17" s="168"/>
      <c r="AH17" s="168"/>
      <c r="AI17" s="168"/>
      <c r="AJ17" s="168"/>
      <c r="AK17" s="168"/>
    </row>
    <row r="18" spans="2:37" ht="16.5" customHeight="1" x14ac:dyDescent="0.25">
      <c r="B18" s="3"/>
      <c r="C18" s="26">
        <v>5</v>
      </c>
      <c r="D18" s="169" t="s">
        <v>256</v>
      </c>
      <c r="E18" s="164"/>
      <c r="F18" s="165"/>
      <c r="G18" s="166"/>
      <c r="H18" s="165"/>
      <c r="I18" s="167"/>
      <c r="J18" s="165"/>
      <c r="K18" s="4"/>
      <c r="L18" s="4"/>
      <c r="M18" s="4"/>
      <c r="N18" s="4"/>
      <c r="O18" s="4"/>
      <c r="P18" s="4"/>
      <c r="Q18" s="4"/>
      <c r="R18" s="4"/>
      <c r="S18" s="4"/>
      <c r="T18" s="4"/>
      <c r="U18" s="4"/>
      <c r="V18" s="151"/>
      <c r="X18" s="168"/>
      <c r="Y18" s="168"/>
      <c r="Z18" s="168"/>
      <c r="AA18" s="168"/>
      <c r="AB18" s="168"/>
      <c r="AC18" s="168"/>
      <c r="AD18" s="168"/>
      <c r="AE18" s="168"/>
      <c r="AF18" s="168"/>
      <c r="AG18" s="168"/>
      <c r="AH18" s="168"/>
      <c r="AI18" s="168"/>
      <c r="AJ18" s="168"/>
      <c r="AK18" s="168"/>
    </row>
    <row r="19" spans="2:37" x14ac:dyDescent="0.25">
      <c r="B19" s="3"/>
      <c r="C19" s="28">
        <v>6</v>
      </c>
      <c r="D19" s="170" t="s">
        <v>257</v>
      </c>
      <c r="E19" s="164"/>
      <c r="F19" s="165"/>
      <c r="G19" s="166"/>
      <c r="H19" s="165"/>
      <c r="I19" s="167"/>
      <c r="J19" s="165"/>
      <c r="K19" s="4"/>
      <c r="L19" s="4"/>
      <c r="M19" s="4"/>
      <c r="N19" s="4"/>
      <c r="O19" s="4"/>
      <c r="P19" s="4"/>
      <c r="Q19" s="4"/>
      <c r="R19" s="4"/>
      <c r="S19" s="4"/>
      <c r="T19" s="4"/>
      <c r="U19" s="4"/>
      <c r="V19" s="151"/>
      <c r="X19" s="168"/>
      <c r="Y19" s="168"/>
      <c r="Z19" s="168"/>
      <c r="AA19" s="168"/>
      <c r="AB19" s="168"/>
      <c r="AC19" s="168"/>
      <c r="AD19" s="168"/>
      <c r="AE19" s="168"/>
      <c r="AF19" s="168"/>
      <c r="AG19" s="168"/>
      <c r="AH19" s="168"/>
      <c r="AI19" s="168"/>
      <c r="AJ19" s="168"/>
      <c r="AK19" s="168"/>
    </row>
    <row r="20" spans="2:37" ht="15.75" customHeight="1" x14ac:dyDescent="0.25">
      <c r="B20" s="3"/>
      <c r="C20" s="7"/>
      <c r="D20" s="4"/>
      <c r="E20" s="171"/>
      <c r="F20" s="171"/>
      <c r="G20" s="171"/>
      <c r="H20" s="171"/>
      <c r="I20" s="171"/>
      <c r="J20" s="171"/>
      <c r="K20" s="4"/>
      <c r="L20" s="4"/>
      <c r="M20" s="4"/>
      <c r="N20" s="4"/>
      <c r="O20" s="4"/>
      <c r="P20" s="4"/>
      <c r="Q20" s="4"/>
      <c r="R20" s="4"/>
      <c r="S20" s="4"/>
      <c r="T20" s="4"/>
      <c r="U20" s="4"/>
      <c r="V20" s="151"/>
      <c r="X20" s="168"/>
      <c r="Y20" s="168"/>
      <c r="Z20" s="168"/>
      <c r="AA20" s="168"/>
      <c r="AB20" s="168"/>
      <c r="AC20" s="168"/>
      <c r="AD20" s="168"/>
      <c r="AE20" s="168"/>
      <c r="AF20" s="168"/>
      <c r="AG20" s="168"/>
      <c r="AH20" s="168"/>
      <c r="AI20" s="168"/>
      <c r="AJ20" s="168"/>
      <c r="AK20" s="168"/>
    </row>
    <row r="21" spans="2:37" s="95" customFormat="1" ht="15.75" customHeight="1" x14ac:dyDescent="0.25">
      <c r="B21" s="3"/>
      <c r="C21" s="172"/>
      <c r="D21" s="173" t="s">
        <v>258</v>
      </c>
      <c r="E21" s="171"/>
      <c r="F21" s="171"/>
      <c r="G21" s="171"/>
      <c r="H21" s="171"/>
      <c r="I21" s="171"/>
      <c r="J21" s="171"/>
      <c r="K21" s="4"/>
      <c r="L21" s="4"/>
      <c r="M21" s="4"/>
      <c r="N21" s="4"/>
      <c r="O21" s="4"/>
      <c r="P21" s="4"/>
      <c r="Q21" s="4"/>
      <c r="R21" s="4"/>
      <c r="S21" s="4"/>
      <c r="T21" s="4"/>
      <c r="U21" s="4"/>
      <c r="V21" s="151"/>
      <c r="X21" s="174"/>
      <c r="Y21" s="96" t="s">
        <v>259</v>
      </c>
      <c r="Z21" s="96"/>
      <c r="AA21" s="175"/>
      <c r="AB21" s="175"/>
      <c r="AC21" s="175"/>
      <c r="AD21" s="175"/>
      <c r="AE21" s="175"/>
      <c r="AF21" s="175"/>
      <c r="AG21" s="175"/>
      <c r="AH21" s="175"/>
      <c r="AI21" s="175"/>
      <c r="AJ21" s="175"/>
      <c r="AK21" s="175"/>
    </row>
    <row r="22" spans="2:37" ht="15.75" customHeight="1" x14ac:dyDescent="0.25">
      <c r="B22" s="3"/>
      <c r="C22" s="176">
        <v>7</v>
      </c>
      <c r="D22" s="163" t="s">
        <v>260</v>
      </c>
      <c r="E22" s="177"/>
      <c r="F22" s="178"/>
      <c r="G22" s="166"/>
      <c r="H22" s="178"/>
      <c r="I22" s="178"/>
      <c r="J22" s="178"/>
      <c r="K22" s="4"/>
      <c r="L22" s="4"/>
      <c r="M22" s="4"/>
      <c r="N22" s="4"/>
      <c r="O22" s="4"/>
      <c r="P22" s="4"/>
      <c r="Q22" s="4"/>
      <c r="R22" s="4"/>
      <c r="S22" s="4"/>
      <c r="T22" s="4"/>
      <c r="U22" s="4"/>
      <c r="V22" s="151"/>
      <c r="X22" s="168"/>
      <c r="Y22" s="168"/>
      <c r="Z22" s="168"/>
      <c r="AA22" s="168"/>
      <c r="AB22" s="168"/>
      <c r="AC22" s="168"/>
      <c r="AD22" s="168"/>
      <c r="AE22" s="168"/>
      <c r="AF22" s="168"/>
      <c r="AG22" s="168"/>
      <c r="AH22" s="168"/>
      <c r="AI22" s="168"/>
      <c r="AJ22" s="168"/>
      <c r="AK22" s="168"/>
    </row>
    <row r="23" spans="2:37" ht="15.75" customHeight="1" x14ac:dyDescent="0.25">
      <c r="B23" s="3"/>
      <c r="C23" s="179">
        <v>8</v>
      </c>
      <c r="D23" s="169" t="s">
        <v>261</v>
      </c>
      <c r="E23" s="177"/>
      <c r="F23" s="178"/>
      <c r="G23" s="166"/>
      <c r="H23" s="178"/>
      <c r="I23" s="178"/>
      <c r="J23" s="178"/>
      <c r="K23" s="4"/>
      <c r="L23" s="4"/>
      <c r="M23" s="4"/>
      <c r="N23" s="4"/>
      <c r="O23" s="4"/>
      <c r="P23" s="4"/>
      <c r="Q23" s="4"/>
      <c r="R23" s="4"/>
      <c r="S23" s="4"/>
      <c r="T23" s="4"/>
      <c r="U23" s="4"/>
      <c r="V23" s="151"/>
      <c r="X23" s="168"/>
      <c r="Y23" s="168"/>
      <c r="Z23" s="168"/>
      <c r="AA23" s="168"/>
      <c r="AB23" s="168"/>
      <c r="AC23" s="168"/>
      <c r="AD23" s="168"/>
      <c r="AE23" s="168"/>
      <c r="AF23" s="168"/>
      <c r="AG23" s="168"/>
      <c r="AH23" s="168"/>
      <c r="AI23" s="168"/>
      <c r="AJ23" s="168"/>
      <c r="AK23" s="168"/>
    </row>
    <row r="24" spans="2:37" ht="15.75" customHeight="1" x14ac:dyDescent="0.25">
      <c r="B24" s="3"/>
      <c r="C24" s="179">
        <v>9</v>
      </c>
      <c r="D24" s="169" t="s">
        <v>262</v>
      </c>
      <c r="E24" s="177"/>
      <c r="F24" s="178"/>
      <c r="G24" s="166"/>
      <c r="H24" s="178"/>
      <c r="I24" s="178"/>
      <c r="J24" s="178"/>
      <c r="K24" s="4"/>
      <c r="L24" s="4"/>
      <c r="M24" s="4"/>
      <c r="N24" s="4"/>
      <c r="O24" s="4"/>
      <c r="P24" s="4"/>
      <c r="Q24" s="4"/>
      <c r="R24" s="4"/>
      <c r="S24" s="4"/>
      <c r="T24" s="4"/>
      <c r="U24" s="4"/>
      <c r="V24" s="151"/>
      <c r="X24" s="168"/>
      <c r="Y24" s="168"/>
      <c r="Z24" s="168"/>
      <c r="AA24" s="168"/>
      <c r="AB24" s="168"/>
      <c r="AC24" s="168"/>
      <c r="AD24" s="168"/>
      <c r="AE24" s="168"/>
      <c r="AF24" s="168"/>
      <c r="AG24" s="168"/>
      <c r="AH24" s="168"/>
      <c r="AI24" s="168"/>
      <c r="AJ24" s="168"/>
      <c r="AK24" s="168"/>
    </row>
    <row r="25" spans="2:37" ht="15.75" customHeight="1" x14ac:dyDescent="0.25">
      <c r="B25" s="3"/>
      <c r="C25" s="179">
        <v>10</v>
      </c>
      <c r="D25" s="169" t="s">
        <v>263</v>
      </c>
      <c r="E25" s="164"/>
      <c r="F25" s="165"/>
      <c r="G25" s="166"/>
      <c r="H25" s="165"/>
      <c r="I25" s="165"/>
      <c r="J25" s="165"/>
      <c r="K25" s="4"/>
      <c r="L25" s="4"/>
      <c r="M25" s="4"/>
      <c r="N25" s="4"/>
      <c r="O25" s="4"/>
      <c r="P25" s="4"/>
      <c r="Q25" s="4"/>
      <c r="R25" s="4"/>
      <c r="S25" s="4"/>
      <c r="T25" s="4"/>
      <c r="U25" s="4"/>
      <c r="V25" s="151"/>
      <c r="X25" s="168"/>
      <c r="Y25" s="168"/>
      <c r="Z25" s="168"/>
      <c r="AA25" s="168"/>
      <c r="AB25" s="168"/>
      <c r="AC25" s="168"/>
      <c r="AD25" s="168"/>
      <c r="AE25" s="168"/>
      <c r="AF25" s="168"/>
      <c r="AG25" s="168"/>
      <c r="AH25" s="168"/>
      <c r="AI25" s="168"/>
      <c r="AJ25" s="168"/>
      <c r="AK25" s="168"/>
    </row>
    <row r="26" spans="2:37" x14ac:dyDescent="0.25">
      <c r="B26" s="3"/>
      <c r="C26" s="180">
        <v>11</v>
      </c>
      <c r="D26" s="170" t="s">
        <v>264</v>
      </c>
      <c r="E26" s="164"/>
      <c r="F26" s="165"/>
      <c r="G26" s="166"/>
      <c r="H26" s="165"/>
      <c r="I26" s="165"/>
      <c r="J26" s="165"/>
      <c r="K26" s="4"/>
      <c r="L26" s="4"/>
      <c r="M26" s="4"/>
      <c r="N26" s="4"/>
      <c r="O26" s="4"/>
      <c r="P26" s="4"/>
      <c r="Q26" s="4"/>
      <c r="R26" s="4"/>
      <c r="S26" s="4"/>
      <c r="T26" s="4"/>
      <c r="U26" s="4"/>
      <c r="V26" s="151"/>
      <c r="X26" s="168"/>
      <c r="Y26" s="168"/>
      <c r="Z26" s="168"/>
      <c r="AA26" s="168"/>
      <c r="AB26" s="168"/>
      <c r="AC26" s="168"/>
      <c r="AD26" s="168"/>
      <c r="AE26" s="168"/>
      <c r="AF26" s="168"/>
      <c r="AG26" s="168"/>
      <c r="AH26" s="168"/>
      <c r="AI26" s="168"/>
      <c r="AJ26" s="168"/>
      <c r="AK26" s="168"/>
    </row>
    <row r="27" spans="2:37" s="94" customFormat="1" x14ac:dyDescent="0.25">
      <c r="B27" s="3"/>
      <c r="C27" s="181"/>
      <c r="D27" s="182"/>
      <c r="E27" s="171"/>
      <c r="F27" s="171"/>
      <c r="G27" s="171"/>
      <c r="H27" s="171"/>
      <c r="I27" s="171"/>
      <c r="J27" s="171"/>
      <c r="K27" s="4"/>
      <c r="L27" s="4"/>
      <c r="M27" s="4"/>
      <c r="N27" s="4"/>
      <c r="O27" s="4"/>
      <c r="P27" s="4"/>
      <c r="Q27" s="4"/>
      <c r="R27" s="4"/>
      <c r="S27" s="4"/>
      <c r="T27" s="4"/>
      <c r="U27" s="4"/>
      <c r="V27" s="151"/>
      <c r="X27" s="183"/>
      <c r="Y27" s="183"/>
      <c r="Z27" s="183"/>
      <c r="AA27" s="183"/>
      <c r="AB27" s="183"/>
      <c r="AC27" s="183"/>
      <c r="AD27" s="183"/>
      <c r="AE27" s="183"/>
      <c r="AF27" s="183"/>
      <c r="AG27" s="183"/>
      <c r="AH27" s="183"/>
      <c r="AI27" s="183"/>
      <c r="AJ27" s="183"/>
      <c r="AK27" s="183"/>
    </row>
    <row r="28" spans="2:37" ht="15.75" x14ac:dyDescent="0.25">
      <c r="B28" s="3"/>
      <c r="C28" s="172"/>
      <c r="D28" s="173" t="s">
        <v>265</v>
      </c>
      <c r="E28" s="171"/>
      <c r="F28" s="171"/>
      <c r="G28" s="171"/>
      <c r="H28" s="171"/>
      <c r="I28" s="171"/>
      <c r="J28" s="171"/>
      <c r="K28" s="4"/>
      <c r="L28" s="4"/>
      <c r="M28" s="4"/>
      <c r="N28" s="4"/>
      <c r="O28" s="4"/>
      <c r="P28" s="4"/>
      <c r="Q28" s="4"/>
      <c r="R28" s="4"/>
      <c r="S28" s="4"/>
      <c r="T28" s="4"/>
      <c r="U28" s="4"/>
      <c r="V28" s="151"/>
      <c r="X28" s="168"/>
      <c r="Y28" s="168"/>
      <c r="Z28" s="168"/>
      <c r="AA28" s="168"/>
      <c r="AB28" s="168"/>
      <c r="AC28" s="168"/>
      <c r="AD28" s="168"/>
      <c r="AE28" s="168"/>
      <c r="AF28" s="168"/>
      <c r="AG28" s="168"/>
      <c r="AH28" s="168"/>
      <c r="AI28" s="168"/>
      <c r="AJ28" s="168"/>
      <c r="AK28" s="168"/>
    </row>
    <row r="29" spans="2:37" ht="18" customHeight="1" x14ac:dyDescent="0.25">
      <c r="B29" s="3"/>
      <c r="C29" s="176">
        <v>12</v>
      </c>
      <c r="D29" s="163" t="s">
        <v>266</v>
      </c>
      <c r="E29" s="177"/>
      <c r="F29" s="178"/>
      <c r="G29" s="166"/>
      <c r="H29" s="178"/>
      <c r="I29" s="178"/>
      <c r="J29" s="178"/>
      <c r="K29" s="4"/>
      <c r="L29" s="4"/>
      <c r="M29" s="4"/>
      <c r="N29" s="4"/>
      <c r="O29" s="4"/>
      <c r="P29" s="4"/>
      <c r="Q29" s="4"/>
      <c r="R29" s="4"/>
      <c r="S29" s="4"/>
      <c r="T29" s="4"/>
      <c r="U29" s="4"/>
      <c r="V29" s="151"/>
      <c r="X29" s="168"/>
      <c r="Y29" s="168"/>
      <c r="Z29" s="168"/>
      <c r="AA29" s="168"/>
      <c r="AB29" s="168"/>
      <c r="AC29" s="168"/>
      <c r="AD29" s="168"/>
      <c r="AE29" s="168"/>
      <c r="AF29" s="168"/>
      <c r="AG29" s="168"/>
      <c r="AH29" s="168"/>
      <c r="AI29" s="168"/>
      <c r="AJ29" s="168"/>
      <c r="AK29" s="168"/>
    </row>
    <row r="30" spans="2:37" x14ac:dyDescent="0.25">
      <c r="B30" s="3"/>
      <c r="C30" s="179">
        <v>13</v>
      </c>
      <c r="D30" s="169" t="s">
        <v>267</v>
      </c>
      <c r="E30" s="177"/>
      <c r="F30" s="178"/>
      <c r="G30" s="166"/>
      <c r="H30" s="178"/>
      <c r="I30" s="178"/>
      <c r="J30" s="178"/>
      <c r="K30" s="4"/>
      <c r="L30" s="4"/>
      <c r="M30" s="4"/>
      <c r="N30" s="4"/>
      <c r="O30" s="4"/>
      <c r="P30" s="4"/>
      <c r="Q30" s="4"/>
      <c r="R30" s="4"/>
      <c r="S30" s="4"/>
      <c r="T30" s="4"/>
      <c r="U30" s="4"/>
      <c r="V30" s="151"/>
      <c r="X30" s="168"/>
      <c r="Y30" s="168"/>
      <c r="Z30" s="168"/>
      <c r="AA30" s="168"/>
      <c r="AB30" s="168"/>
      <c r="AC30" s="168"/>
      <c r="AD30" s="168"/>
      <c r="AE30" s="168"/>
      <c r="AF30" s="168"/>
      <c r="AG30" s="168"/>
      <c r="AH30" s="168"/>
      <c r="AI30" s="168"/>
      <c r="AJ30" s="168"/>
      <c r="AK30" s="168"/>
    </row>
    <row r="31" spans="2:37" x14ac:dyDescent="0.25">
      <c r="B31" s="3"/>
      <c r="C31" s="179">
        <v>14</v>
      </c>
      <c r="D31" s="169" t="s">
        <v>268</v>
      </c>
      <c r="E31" s="164"/>
      <c r="F31" s="165"/>
      <c r="G31" s="166"/>
      <c r="H31" s="165"/>
      <c r="I31" s="165"/>
      <c r="J31" s="165"/>
      <c r="K31" s="4"/>
      <c r="L31" s="4"/>
      <c r="M31" s="4"/>
      <c r="N31" s="4"/>
      <c r="O31" s="4"/>
      <c r="P31" s="4"/>
      <c r="Q31" s="4"/>
      <c r="R31" s="4"/>
      <c r="S31" s="4"/>
      <c r="T31" s="4"/>
      <c r="U31" s="4"/>
      <c r="V31" s="151"/>
      <c r="X31" s="168"/>
      <c r="Y31" s="168"/>
      <c r="Z31" s="168"/>
      <c r="AA31" s="168"/>
      <c r="AB31" s="168"/>
      <c r="AC31" s="168"/>
      <c r="AD31" s="168"/>
      <c r="AE31" s="168"/>
      <c r="AF31" s="168"/>
      <c r="AG31" s="168"/>
      <c r="AH31" s="168"/>
      <c r="AI31" s="168"/>
      <c r="AJ31" s="168"/>
      <c r="AK31" s="168"/>
    </row>
    <row r="32" spans="2:37" x14ac:dyDescent="0.25">
      <c r="B32" s="3"/>
      <c r="C32" s="179">
        <v>15</v>
      </c>
      <c r="D32" s="169" t="s">
        <v>269</v>
      </c>
      <c r="E32" s="164"/>
      <c r="F32" s="165"/>
      <c r="G32" s="166"/>
      <c r="H32" s="165"/>
      <c r="I32" s="165"/>
      <c r="J32" s="165"/>
      <c r="K32" s="4"/>
      <c r="L32" s="4"/>
      <c r="M32" s="4"/>
      <c r="N32" s="4"/>
      <c r="O32" s="4"/>
      <c r="P32" s="4"/>
      <c r="Q32" s="4"/>
      <c r="R32" s="4"/>
      <c r="S32" s="4"/>
      <c r="T32" s="4"/>
      <c r="U32" s="4"/>
      <c r="V32" s="151"/>
      <c r="X32" s="168"/>
      <c r="Y32" s="168"/>
      <c r="Z32" s="168"/>
      <c r="AA32" s="168"/>
      <c r="AB32" s="168"/>
      <c r="AC32" s="168"/>
      <c r="AD32" s="168"/>
      <c r="AE32" s="168"/>
      <c r="AF32" s="168"/>
      <c r="AG32" s="168"/>
      <c r="AH32" s="168"/>
      <c r="AI32" s="168"/>
      <c r="AJ32" s="168"/>
      <c r="AK32" s="168"/>
    </row>
    <row r="33" spans="2:37" x14ac:dyDescent="0.25">
      <c r="B33" s="3"/>
      <c r="C33" s="179">
        <v>16</v>
      </c>
      <c r="D33" s="169" t="s">
        <v>270</v>
      </c>
      <c r="E33" s="164"/>
      <c r="F33" s="165"/>
      <c r="G33" s="166"/>
      <c r="H33" s="165"/>
      <c r="I33" s="165"/>
      <c r="J33" s="165"/>
      <c r="K33" s="4"/>
      <c r="L33" s="4"/>
      <c r="M33" s="4"/>
      <c r="N33" s="4"/>
      <c r="O33" s="4"/>
      <c r="P33" s="4"/>
      <c r="Q33" s="4"/>
      <c r="R33" s="4"/>
      <c r="S33" s="4"/>
      <c r="T33" s="4"/>
      <c r="U33" s="4"/>
      <c r="V33" s="151"/>
      <c r="X33" s="168"/>
      <c r="Y33" s="168"/>
      <c r="Z33" s="168"/>
      <c r="AA33" s="168"/>
      <c r="AB33" s="168"/>
      <c r="AC33" s="168"/>
      <c r="AD33" s="168"/>
      <c r="AE33" s="168"/>
      <c r="AF33" s="168"/>
      <c r="AG33" s="168"/>
      <c r="AH33" s="168"/>
      <c r="AI33" s="168"/>
      <c r="AJ33" s="168"/>
      <c r="AK33" s="168"/>
    </row>
    <row r="34" spans="2:37" x14ac:dyDescent="0.25">
      <c r="B34" s="3"/>
      <c r="C34" s="179">
        <v>17</v>
      </c>
      <c r="D34" s="169" t="s">
        <v>271</v>
      </c>
      <c r="E34" s="164"/>
      <c r="F34" s="165"/>
      <c r="G34" s="166"/>
      <c r="H34" s="165"/>
      <c r="I34" s="165"/>
      <c r="J34" s="165"/>
      <c r="K34" s="4"/>
      <c r="L34" s="4"/>
      <c r="M34" s="4"/>
      <c r="N34" s="4"/>
      <c r="O34" s="4"/>
      <c r="P34" s="4"/>
      <c r="Q34" s="4"/>
      <c r="R34" s="4"/>
      <c r="S34" s="4"/>
      <c r="T34" s="4"/>
      <c r="U34" s="4"/>
      <c r="V34" s="151"/>
      <c r="X34" s="168"/>
      <c r="Y34" s="168"/>
      <c r="Z34" s="168"/>
      <c r="AA34" s="168"/>
      <c r="AB34" s="168"/>
      <c r="AC34" s="168"/>
      <c r="AD34" s="168"/>
      <c r="AE34" s="168"/>
      <c r="AF34" s="168"/>
      <c r="AG34" s="168"/>
      <c r="AH34" s="168"/>
      <c r="AI34" s="168"/>
      <c r="AJ34" s="168"/>
      <c r="AK34" s="168"/>
    </row>
    <row r="35" spans="2:37" x14ac:dyDescent="0.25">
      <c r="B35" s="3"/>
      <c r="C35" s="179">
        <v>18</v>
      </c>
      <c r="D35" s="169" t="s">
        <v>272</v>
      </c>
      <c r="E35" s="184"/>
      <c r="F35" s="185"/>
      <c r="G35" s="166"/>
      <c r="H35" s="185"/>
      <c r="I35" s="185"/>
      <c r="J35" s="185"/>
      <c r="K35" s="4"/>
      <c r="L35" s="4"/>
      <c r="M35" s="4"/>
      <c r="N35" s="4"/>
      <c r="O35" s="4"/>
      <c r="P35" s="4"/>
      <c r="Q35" s="4"/>
      <c r="R35" s="4"/>
      <c r="S35" s="4"/>
      <c r="T35" s="4"/>
      <c r="U35" s="4"/>
      <c r="V35" s="151"/>
      <c r="X35" s="168"/>
      <c r="Y35" s="168"/>
      <c r="Z35" s="168"/>
      <c r="AA35" s="168"/>
      <c r="AB35" s="168"/>
      <c r="AC35" s="168"/>
      <c r="AD35" s="168"/>
      <c r="AE35" s="168"/>
      <c r="AF35" s="168"/>
      <c r="AG35" s="168"/>
      <c r="AH35" s="168"/>
      <c r="AI35" s="168"/>
      <c r="AJ35" s="168"/>
      <c r="AK35" s="168"/>
    </row>
    <row r="36" spans="2:37" x14ac:dyDescent="0.25">
      <c r="B36" s="3"/>
      <c r="C36" s="179">
        <v>19</v>
      </c>
      <c r="D36" s="169" t="s">
        <v>273</v>
      </c>
      <c r="E36" s="184"/>
      <c r="F36" s="185"/>
      <c r="G36" s="166"/>
      <c r="H36" s="185"/>
      <c r="I36" s="186"/>
      <c r="J36" s="185"/>
      <c r="K36" s="4"/>
      <c r="L36" s="4"/>
      <c r="M36" s="4"/>
      <c r="N36" s="4"/>
      <c r="O36" s="4"/>
      <c r="P36" s="4"/>
      <c r="Q36" s="4"/>
      <c r="R36" s="4"/>
      <c r="S36" s="4"/>
      <c r="T36" s="4"/>
      <c r="U36" s="4"/>
      <c r="V36" s="151"/>
      <c r="X36" s="168"/>
      <c r="Y36" s="168"/>
      <c r="Z36" s="168"/>
      <c r="AA36" s="168"/>
      <c r="AB36" s="168"/>
      <c r="AC36" s="168"/>
      <c r="AD36" s="168"/>
      <c r="AE36" s="168"/>
      <c r="AF36" s="168"/>
      <c r="AG36" s="168"/>
      <c r="AH36" s="168"/>
      <c r="AI36" s="168"/>
      <c r="AJ36" s="168"/>
      <c r="AK36" s="168"/>
    </row>
    <row r="37" spans="2:37" x14ac:dyDescent="0.25">
      <c r="B37" s="3"/>
      <c r="C37" s="179">
        <v>20</v>
      </c>
      <c r="D37" s="169" t="s">
        <v>274</v>
      </c>
      <c r="E37" s="164"/>
      <c r="F37" s="165"/>
      <c r="G37" s="166"/>
      <c r="H37" s="165"/>
      <c r="I37" s="167"/>
      <c r="J37" s="165"/>
      <c r="K37" s="4"/>
      <c r="L37" s="4"/>
      <c r="M37" s="4"/>
      <c r="N37" s="4"/>
      <c r="O37" s="4"/>
      <c r="P37" s="4"/>
      <c r="Q37" s="4"/>
      <c r="R37" s="4"/>
      <c r="S37" s="4"/>
      <c r="T37" s="4"/>
      <c r="U37" s="4"/>
      <c r="V37" s="151"/>
      <c r="X37" s="168"/>
      <c r="Y37" s="168"/>
      <c r="Z37" s="168"/>
      <c r="AA37" s="168"/>
      <c r="AB37" s="168"/>
      <c r="AC37" s="168"/>
      <c r="AD37" s="168"/>
      <c r="AE37" s="168"/>
      <c r="AF37" s="168"/>
      <c r="AG37" s="168"/>
      <c r="AH37" s="168"/>
      <c r="AI37" s="168"/>
      <c r="AJ37" s="168"/>
      <c r="AK37" s="168"/>
    </row>
    <row r="38" spans="2:37" x14ac:dyDescent="0.25">
      <c r="B38" s="3"/>
      <c r="C38" s="179">
        <v>21</v>
      </c>
      <c r="D38" s="187" t="s">
        <v>275</v>
      </c>
      <c r="E38" s="164"/>
      <c r="F38" s="165"/>
      <c r="G38" s="166"/>
      <c r="H38" s="165"/>
      <c r="I38" s="167"/>
      <c r="J38" s="165"/>
      <c r="K38" s="4"/>
      <c r="L38" s="4"/>
      <c r="M38" s="4"/>
      <c r="N38" s="4"/>
      <c r="O38" s="4"/>
      <c r="P38" s="4"/>
      <c r="Q38" s="4"/>
      <c r="R38" s="4"/>
      <c r="S38" s="4"/>
      <c r="T38" s="4"/>
      <c r="U38" s="4"/>
      <c r="V38" s="151"/>
      <c r="X38" s="168"/>
      <c r="Y38" s="168"/>
      <c r="Z38" s="168"/>
      <c r="AA38" s="168"/>
      <c r="AB38" s="168"/>
      <c r="AC38" s="168"/>
      <c r="AD38" s="168"/>
      <c r="AE38" s="168"/>
      <c r="AF38" s="168"/>
      <c r="AG38" s="168"/>
      <c r="AH38" s="168"/>
      <c r="AI38" s="168"/>
      <c r="AJ38" s="168"/>
      <c r="AK38" s="168"/>
    </row>
    <row r="39" spans="2:37" x14ac:dyDescent="0.25">
      <c r="B39" s="3"/>
      <c r="C39" s="179">
        <v>22</v>
      </c>
      <c r="D39" s="169" t="s">
        <v>276</v>
      </c>
      <c r="E39" s="164"/>
      <c r="F39" s="165"/>
      <c r="G39" s="166"/>
      <c r="H39" s="165"/>
      <c r="I39" s="167"/>
      <c r="J39" s="165"/>
      <c r="K39" s="4"/>
      <c r="L39" s="4"/>
      <c r="M39" s="4"/>
      <c r="N39" s="4"/>
      <c r="O39" s="4"/>
      <c r="P39" s="4"/>
      <c r="Q39" s="4"/>
      <c r="R39" s="4"/>
      <c r="S39" s="4"/>
      <c r="T39" s="4"/>
      <c r="U39" s="4"/>
      <c r="V39" s="151"/>
      <c r="X39" s="168"/>
      <c r="Y39" s="168"/>
      <c r="Z39" s="168"/>
      <c r="AA39" s="168"/>
      <c r="AB39" s="168"/>
      <c r="AC39" s="168"/>
      <c r="AD39" s="168"/>
      <c r="AE39" s="168"/>
      <c r="AF39" s="168"/>
      <c r="AG39" s="168"/>
      <c r="AH39" s="168"/>
      <c r="AI39" s="168"/>
      <c r="AJ39" s="168"/>
      <c r="AK39" s="168"/>
    </row>
    <row r="40" spans="2:37" x14ac:dyDescent="0.25">
      <c r="B40" s="3"/>
      <c r="C40" s="179">
        <v>23</v>
      </c>
      <c r="D40" s="169" t="s">
        <v>277</v>
      </c>
      <c r="E40" s="164"/>
      <c r="F40" s="165"/>
      <c r="G40" s="166"/>
      <c r="H40" s="165"/>
      <c r="I40" s="167"/>
      <c r="J40" s="165"/>
      <c r="K40" s="4"/>
      <c r="L40" s="4"/>
      <c r="M40" s="4"/>
      <c r="N40" s="4"/>
      <c r="O40" s="4"/>
      <c r="P40" s="4"/>
      <c r="Q40" s="4"/>
      <c r="R40" s="4"/>
      <c r="S40" s="4"/>
      <c r="T40" s="4"/>
      <c r="U40" s="4"/>
      <c r="V40" s="151"/>
      <c r="X40" s="168"/>
      <c r="Y40" s="168"/>
      <c r="Z40" s="168"/>
      <c r="AA40" s="168"/>
      <c r="AB40" s="168"/>
      <c r="AC40" s="168"/>
      <c r="AD40" s="168"/>
      <c r="AE40" s="168"/>
      <c r="AF40" s="168"/>
      <c r="AG40" s="168"/>
      <c r="AH40" s="168"/>
      <c r="AI40" s="168"/>
      <c r="AJ40" s="168"/>
      <c r="AK40" s="168"/>
    </row>
    <row r="41" spans="2:37" x14ac:dyDescent="0.25">
      <c r="B41" s="3"/>
      <c r="C41" s="179">
        <v>24</v>
      </c>
      <c r="D41" s="169" t="s">
        <v>278</v>
      </c>
      <c r="E41" s="164"/>
      <c r="F41" s="165"/>
      <c r="G41" s="166"/>
      <c r="H41" s="165"/>
      <c r="I41" s="167"/>
      <c r="J41" s="165"/>
      <c r="K41" s="4"/>
      <c r="L41" s="4"/>
      <c r="M41" s="4"/>
      <c r="N41" s="4"/>
      <c r="O41" s="4"/>
      <c r="P41" s="4"/>
      <c r="Q41" s="4"/>
      <c r="R41" s="4"/>
      <c r="S41" s="4"/>
      <c r="T41" s="4"/>
      <c r="U41" s="4"/>
      <c r="V41" s="151"/>
      <c r="X41" s="168"/>
      <c r="Y41" s="168"/>
      <c r="Z41" s="168"/>
      <c r="AA41" s="168"/>
      <c r="AB41" s="168"/>
      <c r="AC41" s="168"/>
      <c r="AD41" s="168"/>
      <c r="AE41" s="168"/>
      <c r="AF41" s="168"/>
      <c r="AG41" s="168"/>
      <c r="AH41" s="168"/>
      <c r="AI41" s="168"/>
      <c r="AJ41" s="168"/>
      <c r="AK41" s="168"/>
    </row>
    <row r="42" spans="2:37" x14ac:dyDescent="0.25">
      <c r="B42" s="3"/>
      <c r="C42" s="179">
        <v>25</v>
      </c>
      <c r="D42" s="169" t="s">
        <v>279</v>
      </c>
      <c r="E42" s="164"/>
      <c r="F42" s="165"/>
      <c r="G42" s="166"/>
      <c r="H42" s="165"/>
      <c r="I42" s="167"/>
      <c r="J42" s="165"/>
      <c r="K42" s="4"/>
      <c r="L42" s="4"/>
      <c r="M42" s="4"/>
      <c r="N42" s="4"/>
      <c r="O42" s="4"/>
      <c r="P42" s="4"/>
      <c r="Q42" s="4"/>
      <c r="R42" s="4"/>
      <c r="S42" s="4"/>
      <c r="T42" s="4"/>
      <c r="U42" s="4"/>
      <c r="V42" s="151"/>
      <c r="X42" s="168"/>
      <c r="Y42" s="168"/>
      <c r="Z42" s="168"/>
      <c r="AA42" s="168"/>
      <c r="AB42" s="168"/>
      <c r="AC42" s="168"/>
      <c r="AD42" s="168"/>
      <c r="AE42" s="168"/>
      <c r="AF42" s="168"/>
      <c r="AG42" s="168"/>
      <c r="AH42" s="168"/>
      <c r="AI42" s="168"/>
      <c r="AJ42" s="168"/>
      <c r="AK42" s="168"/>
    </row>
    <row r="43" spans="2:37" x14ac:dyDescent="0.25">
      <c r="B43" s="3"/>
      <c r="C43" s="180">
        <v>26</v>
      </c>
      <c r="D43" s="170" t="s">
        <v>280</v>
      </c>
      <c r="E43" s="164"/>
      <c r="F43" s="165"/>
      <c r="G43" s="166"/>
      <c r="H43" s="165"/>
      <c r="I43" s="167"/>
      <c r="J43" s="165"/>
      <c r="K43" s="4"/>
      <c r="L43" s="4"/>
      <c r="M43" s="4"/>
      <c r="N43" s="4"/>
      <c r="O43" s="4"/>
      <c r="P43" s="4"/>
      <c r="Q43" s="4"/>
      <c r="R43" s="4"/>
      <c r="S43" s="4"/>
      <c r="T43" s="4"/>
      <c r="U43" s="4"/>
      <c r="V43" s="151"/>
      <c r="X43" s="168"/>
      <c r="Y43" s="168"/>
      <c r="Z43" s="168"/>
      <c r="AA43" s="168"/>
      <c r="AB43" s="168"/>
      <c r="AC43" s="168"/>
      <c r="AD43" s="168"/>
      <c r="AE43" s="168"/>
      <c r="AF43" s="168"/>
      <c r="AG43" s="168"/>
      <c r="AH43" s="168"/>
      <c r="AI43" s="168"/>
      <c r="AJ43" s="168"/>
      <c r="AK43" s="168"/>
    </row>
    <row r="44" spans="2:37" x14ac:dyDescent="0.25">
      <c r="B44" s="37"/>
      <c r="C44" s="29"/>
      <c r="D44" s="29"/>
      <c r="E44" s="171"/>
      <c r="F44" s="171"/>
      <c r="G44" s="171"/>
      <c r="H44" s="171"/>
      <c r="I44" s="171"/>
      <c r="J44" s="171"/>
      <c r="K44" s="4"/>
      <c r="L44" s="4"/>
      <c r="M44" s="4"/>
      <c r="N44" s="4"/>
      <c r="O44" s="4"/>
      <c r="P44" s="4"/>
      <c r="Q44" s="4"/>
      <c r="R44" s="4"/>
      <c r="S44" s="4"/>
      <c r="T44" s="4"/>
      <c r="U44" s="4"/>
      <c r="V44" s="151"/>
      <c r="X44" s="168"/>
      <c r="Y44" s="168"/>
      <c r="Z44" s="168"/>
      <c r="AA44" s="168"/>
      <c r="AB44" s="168"/>
      <c r="AC44" s="168"/>
      <c r="AD44" s="168"/>
      <c r="AE44" s="168"/>
      <c r="AF44" s="168"/>
      <c r="AG44" s="168"/>
      <c r="AH44" s="168"/>
      <c r="AI44" s="168"/>
      <c r="AJ44" s="168"/>
      <c r="AK44" s="168"/>
    </row>
    <row r="45" spans="2:37" ht="15.75" x14ac:dyDescent="0.25">
      <c r="B45" s="3"/>
      <c r="C45" s="188"/>
      <c r="D45" s="159" t="s">
        <v>281</v>
      </c>
      <c r="E45" s="171"/>
      <c r="F45" s="171"/>
      <c r="G45" s="171"/>
      <c r="H45" s="171"/>
      <c r="I45" s="171"/>
      <c r="J45" s="171"/>
      <c r="K45" s="4"/>
      <c r="L45" s="4"/>
      <c r="M45" s="4"/>
      <c r="N45" s="4"/>
      <c r="O45" s="4"/>
      <c r="P45" s="4"/>
      <c r="Q45" s="4"/>
      <c r="R45" s="4"/>
      <c r="S45" s="4"/>
      <c r="T45" s="4"/>
      <c r="U45" s="4"/>
      <c r="V45" s="151"/>
      <c r="X45" s="168"/>
      <c r="Y45" s="168"/>
      <c r="Z45" s="168"/>
      <c r="AA45" s="168"/>
      <c r="AB45" s="168"/>
      <c r="AC45" s="168"/>
      <c r="AD45" s="168"/>
      <c r="AE45" s="168"/>
      <c r="AF45" s="168"/>
      <c r="AG45" s="168"/>
      <c r="AH45" s="168"/>
      <c r="AI45" s="168"/>
      <c r="AJ45" s="168"/>
      <c r="AK45" s="168"/>
    </row>
    <row r="46" spans="2:37" x14ac:dyDescent="0.25">
      <c r="B46" s="3"/>
      <c r="C46" s="26">
        <v>27</v>
      </c>
      <c r="D46" s="163" t="s">
        <v>282</v>
      </c>
      <c r="E46" s="164"/>
      <c r="F46" s="165"/>
      <c r="G46" s="166"/>
      <c r="H46" s="165"/>
      <c r="I46" s="165"/>
      <c r="J46" s="165"/>
      <c r="K46" s="4"/>
      <c r="L46" s="4"/>
      <c r="M46" s="4"/>
      <c r="N46" s="4"/>
      <c r="O46" s="4"/>
      <c r="P46" s="4"/>
      <c r="Q46" s="4"/>
      <c r="R46" s="4"/>
      <c r="S46" s="4"/>
      <c r="T46" s="4"/>
      <c r="U46" s="4"/>
      <c r="V46" s="151"/>
      <c r="X46" s="168"/>
      <c r="Y46" s="168"/>
      <c r="Z46" s="168"/>
      <c r="AA46" s="168"/>
      <c r="AB46" s="168"/>
      <c r="AC46" s="168"/>
      <c r="AD46" s="168"/>
      <c r="AE46" s="168"/>
      <c r="AF46" s="168"/>
      <c r="AG46" s="168"/>
      <c r="AH46" s="168"/>
      <c r="AI46" s="168"/>
      <c r="AJ46" s="168"/>
      <c r="AK46" s="168"/>
    </row>
    <row r="47" spans="2:37" x14ac:dyDescent="0.25">
      <c r="B47" s="3"/>
      <c r="C47" s="26">
        <v>28</v>
      </c>
      <c r="D47" s="169" t="s">
        <v>283</v>
      </c>
      <c r="E47" s="164"/>
      <c r="F47" s="165"/>
      <c r="G47" s="166"/>
      <c r="H47" s="165"/>
      <c r="I47" s="165"/>
      <c r="J47" s="165"/>
      <c r="K47" s="4"/>
      <c r="L47" s="4"/>
      <c r="M47" s="4"/>
      <c r="N47" s="4"/>
      <c r="O47" s="4"/>
      <c r="P47" s="4"/>
      <c r="Q47" s="4"/>
      <c r="R47" s="4"/>
      <c r="S47" s="4"/>
      <c r="T47" s="4"/>
      <c r="U47" s="4"/>
      <c r="V47" s="151"/>
      <c r="X47" s="168"/>
      <c r="Y47" s="168"/>
      <c r="Z47" s="168"/>
      <c r="AA47" s="168"/>
      <c r="AB47" s="168"/>
      <c r="AC47" s="168"/>
      <c r="AD47" s="168"/>
      <c r="AE47" s="168"/>
      <c r="AF47" s="168"/>
      <c r="AG47" s="168"/>
      <c r="AH47" s="168"/>
      <c r="AI47" s="168"/>
      <c r="AJ47" s="168"/>
      <c r="AK47" s="168"/>
    </row>
    <row r="48" spans="2:37" x14ac:dyDescent="0.25">
      <c r="B48" s="3"/>
      <c r="C48" s="26">
        <v>29</v>
      </c>
      <c r="D48" s="169" t="s">
        <v>284</v>
      </c>
      <c r="E48" s="164"/>
      <c r="F48" s="165"/>
      <c r="G48" s="166"/>
      <c r="H48" s="165"/>
      <c r="I48" s="165"/>
      <c r="J48" s="165"/>
      <c r="K48" s="4"/>
      <c r="L48" s="4"/>
      <c r="M48" s="4"/>
      <c r="N48" s="4"/>
      <c r="O48" s="4"/>
      <c r="P48" s="4"/>
      <c r="Q48" s="4"/>
      <c r="R48" s="4"/>
      <c r="S48" s="4"/>
      <c r="T48" s="4"/>
      <c r="U48" s="4"/>
      <c r="V48" s="151"/>
      <c r="X48" s="168"/>
      <c r="Y48" s="168"/>
      <c r="Z48" s="168"/>
      <c r="AA48" s="168"/>
      <c r="AB48" s="168"/>
      <c r="AC48" s="168"/>
      <c r="AD48" s="168"/>
      <c r="AE48" s="168"/>
      <c r="AF48" s="168"/>
      <c r="AG48" s="168"/>
      <c r="AH48" s="168"/>
      <c r="AI48" s="168"/>
      <c r="AJ48" s="168"/>
      <c r="AK48" s="168"/>
    </row>
    <row r="49" spans="2:37" x14ac:dyDescent="0.25">
      <c r="B49" s="3"/>
      <c r="C49" s="26">
        <v>30</v>
      </c>
      <c r="D49" s="169" t="s">
        <v>285</v>
      </c>
      <c r="E49" s="164"/>
      <c r="F49" s="165"/>
      <c r="G49" s="166"/>
      <c r="H49" s="165"/>
      <c r="I49" s="165"/>
      <c r="J49" s="165"/>
      <c r="K49" s="4"/>
      <c r="L49" s="4"/>
      <c r="M49" s="4"/>
      <c r="N49" s="4"/>
      <c r="O49" s="4"/>
      <c r="P49" s="4"/>
      <c r="Q49" s="4"/>
      <c r="R49" s="4"/>
      <c r="S49" s="4"/>
      <c r="T49" s="4"/>
      <c r="U49" s="4"/>
      <c r="V49" s="151"/>
      <c r="X49" s="168"/>
      <c r="Y49" s="168"/>
      <c r="Z49" s="168"/>
      <c r="AA49" s="168"/>
      <c r="AB49" s="168"/>
      <c r="AC49" s="168"/>
      <c r="AD49" s="168"/>
      <c r="AE49" s="168"/>
      <c r="AF49" s="168"/>
      <c r="AG49" s="168"/>
      <c r="AH49" s="168"/>
      <c r="AI49" s="168"/>
      <c r="AJ49" s="168"/>
      <c r="AK49" s="168"/>
    </row>
    <row r="50" spans="2:37" x14ac:dyDescent="0.25">
      <c r="B50" s="3"/>
      <c r="C50" s="26">
        <v>31</v>
      </c>
      <c r="D50" s="169" t="s">
        <v>286</v>
      </c>
      <c r="E50" s="164"/>
      <c r="F50" s="165"/>
      <c r="G50" s="166"/>
      <c r="H50" s="165"/>
      <c r="I50" s="165"/>
      <c r="J50" s="165"/>
      <c r="K50" s="4"/>
      <c r="L50" s="4"/>
      <c r="M50" s="4"/>
      <c r="N50" s="4"/>
      <c r="O50" s="4"/>
      <c r="P50" s="4"/>
      <c r="Q50" s="4"/>
      <c r="R50" s="4"/>
      <c r="S50" s="4"/>
      <c r="T50" s="4"/>
      <c r="U50" s="4"/>
      <c r="V50" s="151"/>
      <c r="X50" s="168"/>
      <c r="Y50" s="168"/>
      <c r="Z50" s="168"/>
      <c r="AA50" s="168"/>
      <c r="AB50" s="168"/>
      <c r="AC50" s="168"/>
      <c r="AD50" s="168"/>
      <c r="AE50" s="168"/>
      <c r="AF50" s="168"/>
      <c r="AG50" s="168"/>
      <c r="AH50" s="168"/>
      <c r="AI50" s="168"/>
      <c r="AJ50" s="168"/>
      <c r="AK50" s="168"/>
    </row>
    <row r="51" spans="2:37" x14ac:dyDescent="0.25">
      <c r="B51" s="3"/>
      <c r="C51" s="189">
        <v>32</v>
      </c>
      <c r="D51" s="170" t="s">
        <v>287</v>
      </c>
      <c r="E51" s="190"/>
      <c r="F51" s="191"/>
      <c r="G51" s="166"/>
      <c r="H51" s="191"/>
      <c r="I51" s="191"/>
      <c r="J51" s="191"/>
      <c r="K51" s="4"/>
      <c r="L51" s="4"/>
      <c r="M51" s="4"/>
      <c r="N51" s="4"/>
      <c r="O51" s="4"/>
      <c r="P51" s="4"/>
      <c r="Q51" s="4"/>
      <c r="R51" s="4"/>
      <c r="S51" s="4"/>
      <c r="T51" s="4"/>
      <c r="U51" s="4"/>
      <c r="V51" s="151"/>
      <c r="X51" s="168"/>
      <c r="Y51" s="168"/>
      <c r="Z51" s="168"/>
      <c r="AA51" s="168"/>
      <c r="AB51" s="168"/>
      <c r="AC51" s="168"/>
      <c r="AD51" s="168"/>
      <c r="AE51" s="168"/>
      <c r="AF51" s="168"/>
      <c r="AG51" s="168"/>
      <c r="AH51" s="168"/>
      <c r="AI51" s="168"/>
      <c r="AJ51" s="168"/>
      <c r="AK51" s="168"/>
    </row>
    <row r="52" spans="2:37" x14ac:dyDescent="0.25">
      <c r="B52" s="3"/>
      <c r="C52" s="38"/>
      <c r="D52" s="18"/>
      <c r="E52" s="18"/>
      <c r="F52" s="18"/>
      <c r="G52" s="18"/>
      <c r="H52" s="18"/>
      <c r="I52" s="18"/>
      <c r="J52" s="18"/>
      <c r="K52" s="4"/>
      <c r="L52" s="4"/>
      <c r="M52" s="4"/>
      <c r="N52" s="4"/>
      <c r="O52" s="4"/>
      <c r="P52" s="4"/>
      <c r="Q52" s="4"/>
      <c r="R52" s="4"/>
      <c r="S52" s="4"/>
      <c r="T52" s="4"/>
      <c r="U52" s="6"/>
      <c r="V52" s="151"/>
      <c r="X52" s="168"/>
      <c r="Y52" s="168"/>
      <c r="Z52" s="168"/>
      <c r="AA52" s="168"/>
      <c r="AB52" s="168"/>
      <c r="AC52" s="168"/>
      <c r="AD52" s="168"/>
      <c r="AE52" s="168"/>
      <c r="AF52" s="168"/>
      <c r="AG52" s="168"/>
      <c r="AH52" s="168"/>
      <c r="AI52" s="168"/>
      <c r="AJ52" s="168"/>
      <c r="AK52" s="168"/>
    </row>
    <row r="53" spans="2:37" ht="15.75" x14ac:dyDescent="0.25">
      <c r="B53" s="3"/>
      <c r="C53" s="40"/>
      <c r="D53" s="140" t="s">
        <v>63</v>
      </c>
      <c r="E53" s="17">
        <f>SUM(E14:E51)</f>
        <v>0</v>
      </c>
      <c r="F53" s="17">
        <f t="shared" ref="F53:J53" si="0">SUM(F14:F51)</f>
        <v>0</v>
      </c>
      <c r="G53" s="17">
        <f t="shared" si="0"/>
        <v>0</v>
      </c>
      <c r="H53" s="17">
        <f t="shared" si="0"/>
        <v>0</v>
      </c>
      <c r="I53" s="17">
        <f t="shared" si="0"/>
        <v>0</v>
      </c>
      <c r="J53" s="17">
        <f t="shared" si="0"/>
        <v>0</v>
      </c>
      <c r="K53" s="6"/>
      <c r="L53" s="6"/>
      <c r="M53" s="6"/>
      <c r="N53" s="6"/>
      <c r="O53" s="6"/>
      <c r="P53" s="6"/>
      <c r="Q53" s="6"/>
      <c r="R53" s="6"/>
      <c r="S53" s="6"/>
      <c r="T53" s="6"/>
      <c r="U53" s="6"/>
      <c r="V53" s="151"/>
      <c r="X53" s="168"/>
      <c r="Y53" s="168"/>
      <c r="Z53" s="168"/>
      <c r="AA53" s="168"/>
      <c r="AB53" s="168"/>
      <c r="AC53" s="168"/>
      <c r="AD53" s="168"/>
      <c r="AE53" s="168"/>
      <c r="AF53" s="168"/>
      <c r="AG53" s="168"/>
      <c r="AH53" s="168"/>
      <c r="AI53" s="168"/>
      <c r="AJ53" s="168"/>
      <c r="AK53" s="168"/>
    </row>
    <row r="54" spans="2:37" x14ac:dyDescent="0.25">
      <c r="B54" s="3"/>
      <c r="C54" s="7"/>
      <c r="D54" s="4"/>
      <c r="E54" s="7"/>
      <c r="F54" s="7"/>
      <c r="G54" s="7"/>
      <c r="H54" s="4"/>
      <c r="I54" s="4"/>
      <c r="J54" s="4"/>
      <c r="K54" s="6"/>
      <c r="L54" s="6"/>
      <c r="M54" s="6"/>
      <c r="N54" s="6"/>
      <c r="O54" s="6"/>
      <c r="P54" s="6"/>
      <c r="Q54" s="6"/>
      <c r="R54" s="6"/>
      <c r="S54" s="6"/>
      <c r="T54" s="6"/>
      <c r="U54" s="6"/>
      <c r="V54" s="151"/>
      <c r="X54" s="168"/>
      <c r="Y54" s="168"/>
      <c r="Z54" s="168"/>
      <c r="AA54" s="168"/>
      <c r="AB54" s="168"/>
      <c r="AC54" s="168"/>
      <c r="AD54" s="168"/>
      <c r="AE54" s="168"/>
      <c r="AF54" s="168"/>
      <c r="AG54" s="168"/>
      <c r="AH54" s="168"/>
      <c r="AI54" s="168"/>
      <c r="AJ54" s="168"/>
      <c r="AK54" s="168"/>
    </row>
    <row r="55" spans="2:37" ht="15.75" x14ac:dyDescent="0.25">
      <c r="B55" s="3"/>
      <c r="C55" s="40"/>
      <c r="D55" s="192" t="s">
        <v>64</v>
      </c>
      <c r="E55" s="43" t="e">
        <f>E53/(E53+H53)</f>
        <v>#DIV/0!</v>
      </c>
      <c r="F55" s="44" t="e">
        <f>E55</f>
        <v>#DIV/0!</v>
      </c>
      <c r="G55" s="45"/>
      <c r="H55" s="46"/>
      <c r="I55" s="46"/>
      <c r="J55" s="46"/>
      <c r="K55" s="6"/>
      <c r="L55" s="6"/>
      <c r="M55" s="6"/>
      <c r="N55" s="6"/>
      <c r="O55" s="6"/>
      <c r="P55" s="6"/>
      <c r="Q55" s="6"/>
      <c r="R55" s="6"/>
      <c r="S55" s="6"/>
      <c r="T55" s="6"/>
      <c r="U55" s="6"/>
      <c r="V55" s="151"/>
      <c r="X55" s="168"/>
      <c r="Y55" s="168"/>
      <c r="Z55" s="168"/>
      <c r="AA55" s="168"/>
      <c r="AB55" s="168"/>
      <c r="AC55" s="168"/>
      <c r="AD55" s="168"/>
      <c r="AE55" s="168"/>
      <c r="AF55" s="168"/>
      <c r="AG55" s="168"/>
      <c r="AH55" s="168"/>
      <c r="AI55" s="168"/>
      <c r="AJ55" s="168"/>
      <c r="AK55" s="168"/>
    </row>
    <row r="56" spans="2:37" x14ac:dyDescent="0.25">
      <c r="B56" s="3"/>
      <c r="C56" s="6"/>
      <c r="D56" s="6"/>
      <c r="E56" s="6"/>
      <c r="F56" s="6"/>
      <c r="G56" s="6"/>
      <c r="H56" s="6"/>
      <c r="I56" s="6"/>
      <c r="J56" s="6"/>
      <c r="K56" s="6"/>
      <c r="L56" s="6"/>
      <c r="M56" s="6"/>
      <c r="N56" s="6"/>
      <c r="O56" s="6"/>
      <c r="P56" s="6"/>
      <c r="Q56" s="6"/>
      <c r="R56" s="6"/>
      <c r="S56" s="6"/>
      <c r="T56" s="6"/>
      <c r="U56" s="6"/>
      <c r="V56" s="151"/>
      <c r="X56" s="168"/>
      <c r="Y56" s="168"/>
      <c r="Z56" s="168"/>
      <c r="AA56" s="168"/>
      <c r="AB56" s="168"/>
      <c r="AC56" s="168"/>
      <c r="AD56" s="168"/>
      <c r="AE56" s="168"/>
      <c r="AF56" s="168"/>
      <c r="AG56" s="168"/>
      <c r="AH56" s="168"/>
      <c r="AI56" s="168"/>
      <c r="AJ56" s="168"/>
      <c r="AK56" s="168"/>
    </row>
    <row r="57" spans="2:37" x14ac:dyDescent="0.25">
      <c r="B57" s="3"/>
      <c r="C57" s="6"/>
      <c r="D57" s="6"/>
      <c r="E57" s="6"/>
      <c r="F57" s="6"/>
      <c r="G57" s="6"/>
      <c r="H57" s="6"/>
      <c r="I57" s="6"/>
      <c r="J57" s="6"/>
      <c r="K57" s="6"/>
      <c r="L57" s="6"/>
      <c r="M57" s="6"/>
      <c r="N57" s="6"/>
      <c r="O57" s="6"/>
      <c r="P57" s="6"/>
      <c r="Q57" s="6"/>
      <c r="R57" s="6"/>
      <c r="S57" s="6"/>
      <c r="T57" s="6"/>
      <c r="U57" s="6"/>
      <c r="V57" s="151"/>
      <c r="X57" s="168"/>
      <c r="Y57" s="168"/>
      <c r="Z57" s="168"/>
      <c r="AA57" s="168"/>
      <c r="AB57" s="168"/>
      <c r="AC57" s="168"/>
      <c r="AD57" s="168"/>
      <c r="AE57" s="168"/>
      <c r="AF57" s="168"/>
      <c r="AG57" s="168"/>
      <c r="AH57" s="168"/>
      <c r="AI57" s="168"/>
      <c r="AJ57" s="168"/>
      <c r="AK57" s="168"/>
    </row>
    <row r="58" spans="2:37" ht="15.75" thickBot="1" x14ac:dyDescent="0.3">
      <c r="B58" s="3"/>
      <c r="C58" s="6"/>
      <c r="D58" s="6"/>
      <c r="E58" s="6"/>
      <c r="F58" s="6"/>
      <c r="G58" s="6"/>
      <c r="H58" s="6"/>
      <c r="I58" s="6"/>
      <c r="J58" s="6"/>
      <c r="K58" s="6"/>
      <c r="L58" s="6"/>
      <c r="M58" s="6"/>
      <c r="N58" s="6"/>
      <c r="O58" s="6"/>
      <c r="P58" s="6"/>
      <c r="Q58" s="6"/>
      <c r="R58" s="6"/>
      <c r="S58" s="6"/>
      <c r="T58" s="6"/>
      <c r="U58" s="6"/>
      <c r="V58" s="151"/>
      <c r="X58" s="168"/>
      <c r="Y58" s="168"/>
      <c r="Z58" s="168"/>
      <c r="AA58" s="168"/>
      <c r="AB58" s="168"/>
      <c r="AC58" s="168"/>
      <c r="AD58" s="168"/>
      <c r="AE58" s="168"/>
      <c r="AF58" s="168"/>
      <c r="AG58" s="168"/>
      <c r="AH58" s="168"/>
      <c r="AI58" s="168"/>
      <c r="AJ58" s="168"/>
      <c r="AK58" s="168"/>
    </row>
    <row r="59" spans="2:37" ht="15.75" x14ac:dyDescent="0.25">
      <c r="B59" s="3"/>
      <c r="D59" s="259" t="s">
        <v>76</v>
      </c>
      <c r="E59" s="6"/>
      <c r="F59" s="6"/>
      <c r="G59" s="6"/>
      <c r="H59" s="6"/>
      <c r="I59" s="6"/>
      <c r="J59" s="6"/>
      <c r="K59" s="6"/>
      <c r="L59" s="6"/>
      <c r="M59" s="6"/>
      <c r="N59" s="6"/>
      <c r="O59" s="257"/>
      <c r="P59" s="257"/>
      <c r="Q59" s="257"/>
      <c r="R59" s="257"/>
      <c r="S59" s="257"/>
      <c r="T59" s="257"/>
      <c r="U59" s="6"/>
      <c r="V59" s="151"/>
      <c r="X59" s="168"/>
      <c r="Y59" s="168"/>
      <c r="Z59" s="168"/>
      <c r="AA59" s="168"/>
      <c r="AB59" s="168"/>
      <c r="AC59" s="168"/>
      <c r="AD59" s="168"/>
      <c r="AE59" s="168"/>
      <c r="AF59" s="168"/>
      <c r="AG59" s="168"/>
      <c r="AH59" s="168"/>
      <c r="AI59" s="168"/>
      <c r="AJ59" s="168"/>
      <c r="AK59" s="168"/>
    </row>
    <row r="60" spans="2:37" ht="198" customHeight="1" x14ac:dyDescent="0.25">
      <c r="B60" s="3"/>
      <c r="C60" s="6"/>
      <c r="D60" s="260" t="s">
        <v>352</v>
      </c>
      <c r="E60" s="6"/>
      <c r="F60" s="6"/>
      <c r="G60" s="6"/>
      <c r="H60" s="6"/>
      <c r="I60" s="6"/>
      <c r="J60" s="6"/>
      <c r="K60" s="6"/>
      <c r="L60" s="6"/>
      <c r="M60" s="6"/>
      <c r="N60" s="6"/>
      <c r="O60" s="258"/>
      <c r="P60" s="258"/>
      <c r="Q60" s="258"/>
      <c r="R60" s="258"/>
      <c r="S60" s="258"/>
      <c r="T60" s="258"/>
      <c r="U60" s="6"/>
      <c r="V60" s="151"/>
      <c r="X60" s="168"/>
      <c r="Y60" s="168"/>
      <c r="Z60" s="168"/>
      <c r="AA60" s="168"/>
      <c r="AB60" s="168"/>
      <c r="AC60" s="168"/>
      <c r="AD60" s="168"/>
      <c r="AE60" s="168"/>
      <c r="AF60" s="168"/>
      <c r="AG60" s="168"/>
      <c r="AH60" s="168"/>
      <c r="AI60" s="168"/>
      <c r="AJ60" s="168"/>
      <c r="AK60" s="168"/>
    </row>
    <row r="61" spans="2:37" x14ac:dyDescent="0.25">
      <c r="B61" s="3"/>
      <c r="C61" s="6"/>
      <c r="D61" s="6"/>
      <c r="E61" s="6"/>
      <c r="F61" s="6"/>
      <c r="G61" s="6"/>
      <c r="H61" s="6"/>
      <c r="I61" s="6"/>
      <c r="J61" s="6"/>
      <c r="K61" s="6"/>
      <c r="L61" s="6"/>
      <c r="M61" s="6"/>
      <c r="N61" s="6"/>
      <c r="O61" s="6"/>
      <c r="P61" s="6"/>
      <c r="Q61" s="6"/>
      <c r="R61" s="6"/>
      <c r="S61" s="6"/>
      <c r="T61" s="6"/>
      <c r="U61" s="6"/>
      <c r="V61" s="151"/>
      <c r="X61" s="168"/>
      <c r="Y61" s="168"/>
      <c r="Z61" s="168"/>
      <c r="AA61" s="168"/>
      <c r="AB61" s="168"/>
      <c r="AC61" s="168"/>
      <c r="AD61" s="168"/>
      <c r="AE61" s="168"/>
      <c r="AF61" s="168"/>
      <c r="AG61" s="168"/>
      <c r="AH61" s="168"/>
      <c r="AI61" s="168"/>
      <c r="AJ61" s="168"/>
      <c r="AK61" s="168"/>
    </row>
    <row r="62" spans="2:37" x14ac:dyDescent="0.25">
      <c r="B62" s="3"/>
      <c r="C62" s="6"/>
      <c r="D62" s="6"/>
      <c r="E62" s="6"/>
      <c r="F62" s="6"/>
      <c r="G62" s="6"/>
      <c r="H62" s="6"/>
      <c r="I62" s="6"/>
      <c r="J62" s="6"/>
      <c r="K62" s="6"/>
      <c r="L62" s="6"/>
      <c r="M62" s="6"/>
      <c r="N62" s="6"/>
      <c r="O62" s="6"/>
      <c r="P62" s="6"/>
      <c r="Q62" s="6"/>
      <c r="R62" s="6"/>
      <c r="S62" s="6"/>
      <c r="T62" s="6"/>
      <c r="U62" s="6"/>
      <c r="V62" s="151"/>
      <c r="X62" s="168"/>
      <c r="Y62" s="168"/>
      <c r="Z62" s="168"/>
      <c r="AA62" s="168"/>
      <c r="AB62" s="168"/>
      <c r="AC62" s="168"/>
      <c r="AD62" s="168"/>
      <c r="AE62" s="168"/>
      <c r="AF62" s="168"/>
      <c r="AG62" s="168"/>
      <c r="AH62" s="168"/>
      <c r="AI62" s="168"/>
      <c r="AJ62" s="168"/>
      <c r="AK62" s="168"/>
    </row>
    <row r="63" spans="2:37" x14ac:dyDescent="0.25">
      <c r="B63" s="3"/>
      <c r="C63" s="6"/>
      <c r="D63" s="6"/>
      <c r="E63" s="6"/>
      <c r="F63" s="6"/>
      <c r="G63" s="6"/>
      <c r="H63" s="6"/>
      <c r="I63" s="6"/>
      <c r="J63" s="6"/>
      <c r="K63" s="6"/>
      <c r="L63" s="6"/>
      <c r="M63" s="6"/>
      <c r="N63" s="6"/>
      <c r="O63" s="6"/>
      <c r="P63" s="6"/>
      <c r="Q63" s="6"/>
      <c r="R63" s="6"/>
      <c r="S63" s="6"/>
      <c r="T63" s="6"/>
      <c r="U63" s="6"/>
      <c r="V63" s="151"/>
      <c r="X63" s="168"/>
      <c r="Y63" s="168"/>
      <c r="Z63" s="168"/>
      <c r="AA63" s="168"/>
      <c r="AB63" s="168"/>
      <c r="AC63" s="168"/>
      <c r="AD63" s="168"/>
      <c r="AE63" s="168"/>
      <c r="AF63" s="168"/>
      <c r="AG63" s="168"/>
      <c r="AH63" s="168"/>
      <c r="AI63" s="168"/>
      <c r="AJ63" s="168"/>
      <c r="AK63" s="168"/>
    </row>
    <row r="64" spans="2:37" x14ac:dyDescent="0.25">
      <c r="B64" s="3"/>
      <c r="C64" s="6"/>
      <c r="D64" s="6"/>
      <c r="E64" s="6"/>
      <c r="F64" s="6"/>
      <c r="G64" s="6"/>
      <c r="H64" s="6"/>
      <c r="I64" s="6"/>
      <c r="J64" s="6"/>
      <c r="K64" s="6"/>
      <c r="L64" s="6"/>
      <c r="M64" s="6"/>
      <c r="N64" s="6"/>
      <c r="O64" s="6"/>
      <c r="P64" s="6"/>
      <c r="Q64" s="6"/>
      <c r="R64" s="6"/>
      <c r="S64" s="6"/>
      <c r="T64" s="6"/>
      <c r="U64" s="4"/>
      <c r="V64" s="151"/>
      <c r="X64" s="168"/>
      <c r="Y64" s="168"/>
      <c r="Z64" s="168"/>
      <c r="AA64" s="168"/>
      <c r="AB64" s="168"/>
      <c r="AC64" s="168"/>
      <c r="AD64" s="168"/>
      <c r="AE64" s="168"/>
      <c r="AF64" s="168"/>
      <c r="AG64" s="168"/>
      <c r="AH64" s="168"/>
      <c r="AI64" s="168"/>
      <c r="AJ64" s="168"/>
      <c r="AK64" s="168"/>
    </row>
    <row r="65" spans="2:37" ht="15.75" thickBot="1" x14ac:dyDescent="0.3">
      <c r="B65" s="47"/>
      <c r="C65" s="48"/>
      <c r="D65" s="49"/>
      <c r="E65" s="48"/>
      <c r="F65" s="48"/>
      <c r="G65" s="48"/>
      <c r="H65" s="49"/>
      <c r="I65" s="49"/>
      <c r="J65" s="49"/>
      <c r="K65" s="49"/>
      <c r="L65" s="49"/>
      <c r="M65" s="49"/>
      <c r="N65" s="49"/>
      <c r="O65" s="49"/>
      <c r="P65" s="49"/>
      <c r="Q65" s="49"/>
      <c r="R65" s="49"/>
      <c r="S65" s="49"/>
      <c r="T65" s="49"/>
      <c r="U65" s="193"/>
      <c r="V65" s="194"/>
      <c r="X65" s="168"/>
      <c r="Y65" s="168"/>
      <c r="Z65" s="168"/>
      <c r="AA65" s="168"/>
      <c r="AB65" s="168"/>
      <c r="AC65" s="168"/>
      <c r="AD65" s="168"/>
      <c r="AE65" s="168"/>
      <c r="AF65" s="168"/>
      <c r="AG65" s="168"/>
      <c r="AH65" s="168"/>
      <c r="AI65" s="168"/>
      <c r="AJ65" s="168"/>
      <c r="AK65" s="168"/>
    </row>
    <row r="66" spans="2:37" x14ac:dyDescent="0.25">
      <c r="B66" s="1"/>
      <c r="C66" s="2"/>
      <c r="D66" s="2"/>
      <c r="E66" s="2"/>
      <c r="F66" s="2"/>
      <c r="G66" s="2"/>
      <c r="H66" s="2"/>
      <c r="I66" s="2"/>
      <c r="J66" s="2"/>
      <c r="K66" s="2"/>
      <c r="L66" s="2"/>
      <c r="M66" s="2"/>
      <c r="N66" s="2"/>
      <c r="O66" s="2"/>
      <c r="P66" s="2"/>
      <c r="Q66" s="2"/>
      <c r="R66" s="2"/>
      <c r="S66" s="2"/>
      <c r="T66" s="2"/>
      <c r="X66" s="168"/>
      <c r="Y66" s="168"/>
      <c r="Z66" s="168"/>
      <c r="AA66" s="168"/>
      <c r="AB66" s="168"/>
      <c r="AC66" s="168"/>
      <c r="AD66" s="168"/>
      <c r="AE66" s="168"/>
      <c r="AF66" s="168"/>
      <c r="AG66" s="168"/>
      <c r="AH66" s="168"/>
      <c r="AI66" s="168"/>
      <c r="AJ66" s="168"/>
      <c r="AK66" s="168"/>
    </row>
    <row r="67" spans="2:37" x14ac:dyDescent="0.25">
      <c r="B67" s="1"/>
      <c r="C67" s="2"/>
      <c r="D67" s="2"/>
      <c r="E67" s="2"/>
      <c r="F67" s="2"/>
      <c r="G67" s="2"/>
      <c r="H67" s="2"/>
      <c r="I67" s="2"/>
      <c r="J67" s="2"/>
      <c r="K67" s="2"/>
      <c r="L67" s="2"/>
      <c r="M67" s="2"/>
      <c r="N67" s="2"/>
      <c r="O67" s="2"/>
      <c r="P67" s="2"/>
      <c r="Q67" s="2"/>
      <c r="R67" s="2"/>
      <c r="S67" s="2"/>
      <c r="T67" s="2"/>
    </row>
  </sheetData>
  <customSheetViews>
    <customSheetView guid="{69240C63-12B7-470F-8204-BD04727BB980}" scale="70">
      <selection activeCell="G11" sqref="G11"/>
      <pageMargins left="0.7" right="0.7" top="0.75" bottom="0.75" header="0.3" footer="0.3"/>
      <pageSetup paperSize="9" orientation="portrait" r:id="rId1"/>
    </customSheetView>
  </customSheetViews>
  <mergeCells count="2">
    <mergeCell ref="D4:U4"/>
    <mergeCell ref="L13:U13"/>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4" r:id="rId5" name="Button 2">
              <controlPr defaultSize="0" print="0" autoFill="0" autoPict="0" macro="[0]!Button2_Click">
                <anchor moveWithCells="1" sizeWithCells="1">
                  <from>
                    <xdr:col>7</xdr:col>
                    <xdr:colOff>581025</xdr:colOff>
                    <xdr:row>5</xdr:row>
                    <xdr:rowOff>104775</xdr:rowOff>
                  </from>
                  <to>
                    <xdr:col>9</xdr:col>
                    <xdr:colOff>514350</xdr:colOff>
                    <xdr:row>7</xdr:row>
                    <xdr:rowOff>152400</xdr:rowOff>
                  </to>
                </anchor>
              </controlPr>
            </control>
          </mc:Choice>
        </mc:AlternateContent>
        <mc:AlternateContent xmlns:mc="http://schemas.openxmlformats.org/markup-compatibility/2006">
          <mc:Choice Requires="x14">
            <control shapeId="8195" r:id="rId6" name="Button 3">
              <controlPr defaultSize="0" print="0" autoFill="0" autoPict="0" macro="[0]!Button3_Click">
                <anchor moveWithCells="1" sizeWithCells="1">
                  <from>
                    <xdr:col>5</xdr:col>
                    <xdr:colOff>28575</xdr:colOff>
                    <xdr:row>5</xdr:row>
                    <xdr:rowOff>142875</xdr:rowOff>
                  </from>
                  <to>
                    <xdr:col>6</xdr:col>
                    <xdr:colOff>533400</xdr:colOff>
                    <xdr:row>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487"/>
  <sheetViews>
    <sheetView zoomScale="60" zoomScaleNormal="60" workbookViewId="0">
      <pane ySplit="1" topLeftCell="A344" activePane="bottomLeft" state="frozen"/>
      <selection pane="bottomLeft" activeCell="Y487" sqref="Y487"/>
    </sheetView>
  </sheetViews>
  <sheetFormatPr defaultRowHeight="36" customHeight="1" x14ac:dyDescent="0.25"/>
  <cols>
    <col min="1" max="1" width="45.42578125" bestFit="1" customWidth="1"/>
    <col min="2" max="2" width="18.7109375" bestFit="1" customWidth="1"/>
    <col min="3" max="3" width="22.28515625" customWidth="1"/>
    <col min="4" max="5" width="27.85546875" bestFit="1" customWidth="1"/>
    <col min="6" max="6" width="12" customWidth="1"/>
    <col min="7" max="7" width="22.5703125" customWidth="1"/>
    <col min="8" max="8" width="20.28515625" customWidth="1"/>
    <col min="9" max="9" width="16.7109375" bestFit="1" customWidth="1"/>
    <col min="10" max="10" width="15.28515625" customWidth="1"/>
    <col min="11" max="11" width="13.42578125" bestFit="1" customWidth="1"/>
    <col min="12" max="12" width="12.42578125" style="92" bestFit="1" customWidth="1"/>
    <col min="13" max="22" width="11.5703125" style="133" customWidth="1"/>
    <col min="23" max="23" width="16.5703125" style="198" customWidth="1"/>
    <col min="24" max="24" width="19.28515625" bestFit="1" customWidth="1"/>
  </cols>
  <sheetData>
    <row r="1" spans="1:25" s="55" customFormat="1" ht="36" customHeight="1" x14ac:dyDescent="0.25">
      <c r="A1" s="51" t="s">
        <v>65</v>
      </c>
      <c r="B1" s="51" t="s">
        <v>66</v>
      </c>
      <c r="C1" s="51" t="s">
        <v>67</v>
      </c>
      <c r="D1" s="52" t="s">
        <v>68</v>
      </c>
      <c r="E1" s="52" t="s">
        <v>69</v>
      </c>
      <c r="F1" s="53" t="s">
        <v>17</v>
      </c>
      <c r="G1" s="52" t="s">
        <v>70</v>
      </c>
      <c r="H1" s="52" t="s">
        <v>71</v>
      </c>
      <c r="I1" s="52" t="s">
        <v>72</v>
      </c>
      <c r="J1" s="52" t="s">
        <v>73</v>
      </c>
      <c r="K1" s="52" t="s">
        <v>74</v>
      </c>
      <c r="L1" s="54" t="s">
        <v>75</v>
      </c>
      <c r="M1" s="321" t="s">
        <v>76</v>
      </c>
      <c r="N1" s="322"/>
      <c r="O1" s="322"/>
      <c r="P1" s="322"/>
      <c r="Q1" s="322"/>
      <c r="R1" s="322"/>
      <c r="S1" s="322"/>
      <c r="T1" s="322"/>
      <c r="U1" s="322"/>
      <c r="V1" s="322"/>
      <c r="W1" s="54" t="s">
        <v>288</v>
      </c>
      <c r="X1" s="54" t="s">
        <v>77</v>
      </c>
      <c r="Y1" s="54" t="s">
        <v>78</v>
      </c>
    </row>
    <row r="2" spans="1:25" s="60" customFormat="1" ht="36" customHeight="1" x14ac:dyDescent="0.35">
      <c r="A2" s="56" t="s">
        <v>79</v>
      </c>
      <c r="B2" s="57" t="s">
        <v>80</v>
      </c>
      <c r="C2" s="56">
        <v>131037</v>
      </c>
      <c r="D2" s="58">
        <v>41996</v>
      </c>
      <c r="E2" s="59">
        <v>42030</v>
      </c>
      <c r="F2" s="60">
        <v>34</v>
      </c>
      <c r="G2" s="60">
        <v>21</v>
      </c>
      <c r="H2" s="60">
        <v>23</v>
      </c>
      <c r="I2" s="60">
        <v>0</v>
      </c>
      <c r="J2" s="60">
        <v>0</v>
      </c>
      <c r="K2" s="60">
        <v>1</v>
      </c>
      <c r="L2" s="61">
        <v>0.95</v>
      </c>
      <c r="M2" s="318" t="s">
        <v>81</v>
      </c>
      <c r="N2" s="319"/>
      <c r="O2" s="319"/>
      <c r="P2" s="319"/>
      <c r="Q2" s="319"/>
      <c r="R2" s="319"/>
      <c r="S2" s="319"/>
      <c r="T2" s="319"/>
      <c r="U2" s="319"/>
      <c r="V2" s="320"/>
      <c r="W2" s="196"/>
      <c r="X2" s="62" t="s">
        <v>82</v>
      </c>
      <c r="Y2" s="60" t="s">
        <v>83</v>
      </c>
    </row>
    <row r="3" spans="1:25" s="60" customFormat="1" ht="36" customHeight="1" x14ac:dyDescent="0.35">
      <c r="A3" s="56" t="s">
        <v>79</v>
      </c>
      <c r="B3" s="57">
        <v>42031</v>
      </c>
      <c r="C3" s="56">
        <v>66654</v>
      </c>
      <c r="D3" s="58">
        <v>42014</v>
      </c>
      <c r="E3" s="59">
        <v>42026</v>
      </c>
      <c r="F3" s="60">
        <v>12</v>
      </c>
      <c r="G3" s="60">
        <v>23</v>
      </c>
      <c r="H3" s="60">
        <v>21</v>
      </c>
      <c r="I3" s="60">
        <v>0</v>
      </c>
      <c r="J3" s="60">
        <v>0</v>
      </c>
      <c r="K3" s="60">
        <v>2</v>
      </c>
      <c r="L3" s="61">
        <v>0.91</v>
      </c>
      <c r="M3" s="318" t="s">
        <v>84</v>
      </c>
      <c r="N3" s="319"/>
      <c r="O3" s="319"/>
      <c r="P3" s="319"/>
      <c r="Q3" s="319"/>
      <c r="R3" s="319"/>
      <c r="S3" s="319"/>
      <c r="T3" s="319"/>
      <c r="U3" s="319"/>
      <c r="V3" s="320"/>
      <c r="W3" s="196"/>
      <c r="X3" s="62" t="s">
        <v>82</v>
      </c>
      <c r="Y3" s="60" t="s">
        <v>83</v>
      </c>
    </row>
    <row r="4" spans="1:25" s="60" customFormat="1" ht="36" customHeight="1" x14ac:dyDescent="0.35">
      <c r="A4" s="56" t="s">
        <v>85</v>
      </c>
      <c r="B4" s="57">
        <v>42031</v>
      </c>
      <c r="C4" s="56">
        <v>151232</v>
      </c>
      <c r="D4" s="58">
        <v>42020</v>
      </c>
      <c r="E4" s="59">
        <v>42024</v>
      </c>
      <c r="F4" s="60">
        <v>4</v>
      </c>
      <c r="G4" s="60">
        <v>29</v>
      </c>
      <c r="H4" s="60">
        <v>15</v>
      </c>
      <c r="I4" s="60">
        <v>0</v>
      </c>
      <c r="J4" s="60">
        <v>0</v>
      </c>
      <c r="K4" s="60">
        <v>2</v>
      </c>
      <c r="L4" s="61">
        <v>0.8529411764705882</v>
      </c>
      <c r="M4" s="318" t="s">
        <v>86</v>
      </c>
      <c r="N4" s="319"/>
      <c r="O4" s="319"/>
      <c r="P4" s="319"/>
      <c r="Q4" s="319"/>
      <c r="R4" s="319"/>
      <c r="S4" s="319"/>
      <c r="T4" s="319"/>
      <c r="U4" s="319"/>
      <c r="V4" s="320"/>
      <c r="W4" s="196"/>
      <c r="X4" s="62" t="s">
        <v>82</v>
      </c>
      <c r="Y4" s="60" t="s">
        <v>83</v>
      </c>
    </row>
    <row r="5" spans="1:25" s="60" customFormat="1" ht="36" customHeight="1" x14ac:dyDescent="0.35">
      <c r="A5" s="56" t="s">
        <v>85</v>
      </c>
      <c r="B5" s="57">
        <v>42031</v>
      </c>
      <c r="C5" s="56">
        <v>12950</v>
      </c>
      <c r="D5" s="58">
        <v>41984</v>
      </c>
      <c r="E5" s="59">
        <v>42013</v>
      </c>
      <c r="F5" s="60">
        <v>29</v>
      </c>
      <c r="G5" s="60">
        <v>25</v>
      </c>
      <c r="H5" s="60">
        <v>19</v>
      </c>
      <c r="I5" s="60">
        <v>0</v>
      </c>
      <c r="J5" s="60">
        <v>0</v>
      </c>
      <c r="K5" s="60">
        <v>0</v>
      </c>
      <c r="L5" s="61">
        <v>1</v>
      </c>
      <c r="M5" s="318" t="s">
        <v>86</v>
      </c>
      <c r="N5" s="319"/>
      <c r="O5" s="319"/>
      <c r="P5" s="319"/>
      <c r="Q5" s="319"/>
      <c r="R5" s="319"/>
      <c r="S5" s="319"/>
      <c r="T5" s="319"/>
      <c r="U5" s="319"/>
      <c r="V5" s="320"/>
      <c r="W5" s="196"/>
      <c r="X5" s="62" t="s">
        <v>82</v>
      </c>
      <c r="Y5" s="60" t="s">
        <v>83</v>
      </c>
    </row>
    <row r="6" spans="1:25" s="60" customFormat="1" ht="36" customHeight="1" x14ac:dyDescent="0.35">
      <c r="A6" s="56" t="s">
        <v>87</v>
      </c>
      <c r="B6" s="57">
        <v>42031</v>
      </c>
      <c r="C6" s="56">
        <v>8316</v>
      </c>
      <c r="D6" s="58">
        <v>42020</v>
      </c>
      <c r="E6" s="59">
        <v>42024</v>
      </c>
      <c r="F6" s="60">
        <v>4</v>
      </c>
      <c r="G6" s="60">
        <v>23</v>
      </c>
      <c r="H6" s="60">
        <v>21</v>
      </c>
      <c r="I6" s="60">
        <v>0</v>
      </c>
      <c r="J6" s="60">
        <v>0</v>
      </c>
      <c r="K6" s="60">
        <v>0</v>
      </c>
      <c r="L6" s="61">
        <v>1</v>
      </c>
      <c r="M6" s="318" t="s">
        <v>88</v>
      </c>
      <c r="N6" s="319"/>
      <c r="O6" s="319"/>
      <c r="P6" s="319"/>
      <c r="Q6" s="319"/>
      <c r="R6" s="319"/>
      <c r="S6" s="319"/>
      <c r="T6" s="319"/>
      <c r="U6" s="319"/>
      <c r="V6" s="320"/>
      <c r="W6" s="196"/>
      <c r="X6" s="62" t="s">
        <v>82</v>
      </c>
      <c r="Y6" s="60" t="s">
        <v>83</v>
      </c>
    </row>
    <row r="7" spans="1:25" s="60" customFormat="1" ht="36" customHeight="1" x14ac:dyDescent="0.35">
      <c r="A7" s="56" t="s">
        <v>89</v>
      </c>
      <c r="B7" s="57">
        <v>42031</v>
      </c>
      <c r="C7" s="56">
        <v>18514</v>
      </c>
      <c r="D7" s="58">
        <v>41977</v>
      </c>
      <c r="E7" s="59">
        <v>42017</v>
      </c>
      <c r="F7" s="60">
        <v>40</v>
      </c>
      <c r="G7" s="60">
        <v>22</v>
      </c>
      <c r="H7" s="60">
        <v>22</v>
      </c>
      <c r="I7" s="60">
        <v>0</v>
      </c>
      <c r="J7" s="60">
        <v>0</v>
      </c>
      <c r="K7" s="60">
        <v>1</v>
      </c>
      <c r="L7" s="61">
        <v>0.96</v>
      </c>
      <c r="M7" s="318" t="s">
        <v>90</v>
      </c>
      <c r="N7" s="319"/>
      <c r="O7" s="319"/>
      <c r="P7" s="319"/>
      <c r="Q7" s="319"/>
      <c r="R7" s="319"/>
      <c r="S7" s="319"/>
      <c r="T7" s="319"/>
      <c r="U7" s="319"/>
      <c r="V7" s="320"/>
      <c r="W7" s="196"/>
      <c r="X7" s="62" t="s">
        <v>82</v>
      </c>
      <c r="Y7" s="60" t="s">
        <v>83</v>
      </c>
    </row>
    <row r="8" spans="1:25" s="60" customFormat="1" ht="36" customHeight="1" x14ac:dyDescent="0.35">
      <c r="A8" s="56" t="s">
        <v>91</v>
      </c>
      <c r="B8" s="57">
        <v>42031</v>
      </c>
      <c r="C8" s="56">
        <v>100790</v>
      </c>
      <c r="D8" s="58">
        <v>41974</v>
      </c>
      <c r="E8" s="59">
        <v>42024</v>
      </c>
      <c r="F8" s="60">
        <v>50</v>
      </c>
      <c r="G8" s="60">
        <v>21</v>
      </c>
      <c r="H8" s="60">
        <v>23</v>
      </c>
      <c r="I8" s="60">
        <v>0</v>
      </c>
      <c r="J8" s="60">
        <v>0</v>
      </c>
      <c r="K8" s="60">
        <v>2</v>
      </c>
      <c r="L8" s="61">
        <v>0.91</v>
      </c>
      <c r="M8" s="318" t="s">
        <v>92</v>
      </c>
      <c r="N8" s="319"/>
      <c r="O8" s="319"/>
      <c r="P8" s="319"/>
      <c r="Q8" s="319"/>
      <c r="R8" s="319"/>
      <c r="S8" s="319"/>
      <c r="T8" s="319"/>
      <c r="U8" s="319"/>
      <c r="V8" s="320"/>
      <c r="W8" s="196"/>
      <c r="X8" s="62" t="s">
        <v>82</v>
      </c>
      <c r="Y8" s="60" t="s">
        <v>83</v>
      </c>
    </row>
    <row r="9" spans="1:25" s="60" customFormat="1" ht="36" customHeight="1" x14ac:dyDescent="0.35">
      <c r="A9" s="56" t="s">
        <v>91</v>
      </c>
      <c r="B9" s="57">
        <v>42031</v>
      </c>
      <c r="C9" s="56">
        <v>6135</v>
      </c>
      <c r="D9" s="58">
        <v>41950</v>
      </c>
      <c r="E9" s="59">
        <v>42025</v>
      </c>
      <c r="F9" s="60">
        <v>75</v>
      </c>
      <c r="G9" s="60">
        <v>23</v>
      </c>
      <c r="H9" s="60">
        <v>21</v>
      </c>
      <c r="I9" s="60">
        <v>0</v>
      </c>
      <c r="J9" s="60">
        <v>0</v>
      </c>
      <c r="K9" s="60">
        <v>2</v>
      </c>
      <c r="L9" s="61">
        <v>0.91</v>
      </c>
      <c r="M9" s="318" t="s">
        <v>93</v>
      </c>
      <c r="N9" s="319"/>
      <c r="O9" s="319"/>
      <c r="P9" s="319"/>
      <c r="Q9" s="319"/>
      <c r="R9" s="319"/>
      <c r="S9" s="319"/>
      <c r="T9" s="319"/>
      <c r="U9" s="319"/>
      <c r="V9" s="320"/>
      <c r="W9" s="196"/>
      <c r="X9" s="62" t="s">
        <v>82</v>
      </c>
      <c r="Y9" s="60" t="s">
        <v>83</v>
      </c>
    </row>
    <row r="10" spans="1:25" s="60" customFormat="1" ht="36" customHeight="1" x14ac:dyDescent="0.35">
      <c r="A10" s="56" t="s">
        <v>94</v>
      </c>
      <c r="B10" s="57">
        <v>42031</v>
      </c>
      <c r="C10" s="56">
        <v>39690</v>
      </c>
      <c r="D10" s="58">
        <v>41985</v>
      </c>
      <c r="E10" s="59">
        <v>42025</v>
      </c>
      <c r="F10" s="60">
        <v>40</v>
      </c>
      <c r="G10" s="60">
        <v>23</v>
      </c>
      <c r="H10" s="60">
        <v>21</v>
      </c>
      <c r="I10" s="60">
        <v>0</v>
      </c>
      <c r="J10" s="60">
        <v>0</v>
      </c>
      <c r="K10" s="60">
        <v>0</v>
      </c>
      <c r="L10" s="61">
        <v>1</v>
      </c>
      <c r="M10" s="318" t="s">
        <v>95</v>
      </c>
      <c r="N10" s="319"/>
      <c r="O10" s="319"/>
      <c r="P10" s="319"/>
      <c r="Q10" s="319"/>
      <c r="R10" s="319"/>
      <c r="S10" s="319"/>
      <c r="T10" s="319"/>
      <c r="U10" s="319"/>
      <c r="V10" s="320"/>
      <c r="W10" s="196"/>
      <c r="X10" s="62" t="s">
        <v>82</v>
      </c>
      <c r="Y10" s="60" t="s">
        <v>83</v>
      </c>
    </row>
    <row r="11" spans="1:25" s="60" customFormat="1" ht="36" customHeight="1" x14ac:dyDescent="0.35">
      <c r="A11" s="56" t="s">
        <v>96</v>
      </c>
      <c r="B11" s="57">
        <v>42031</v>
      </c>
      <c r="C11" s="56">
        <v>39690</v>
      </c>
      <c r="D11" s="58">
        <v>41985</v>
      </c>
      <c r="E11" s="59">
        <v>42025</v>
      </c>
      <c r="F11" s="60">
        <v>40</v>
      </c>
      <c r="G11" s="60">
        <v>23</v>
      </c>
      <c r="H11" s="60">
        <v>21</v>
      </c>
      <c r="I11" s="60">
        <v>0</v>
      </c>
      <c r="J11" s="60">
        <v>0</v>
      </c>
      <c r="K11" s="60">
        <v>0</v>
      </c>
      <c r="L11" s="61">
        <v>1</v>
      </c>
      <c r="M11" s="318" t="s">
        <v>95</v>
      </c>
      <c r="N11" s="319"/>
      <c r="O11" s="319"/>
      <c r="P11" s="319"/>
      <c r="Q11" s="319"/>
      <c r="R11" s="319"/>
      <c r="S11" s="319"/>
      <c r="T11" s="319"/>
      <c r="U11" s="319"/>
      <c r="V11" s="320"/>
      <c r="W11" s="196"/>
      <c r="X11" s="62" t="s">
        <v>82</v>
      </c>
      <c r="Y11" s="60" t="s">
        <v>83</v>
      </c>
    </row>
    <row r="12" spans="1:25" s="60" customFormat="1" ht="36" customHeight="1" x14ac:dyDescent="0.35">
      <c r="A12" s="56" t="s">
        <v>94</v>
      </c>
      <c r="B12" s="57">
        <v>42031</v>
      </c>
      <c r="C12" s="56">
        <v>47633</v>
      </c>
      <c r="D12" s="58">
        <v>42024</v>
      </c>
      <c r="E12" s="59">
        <v>42026</v>
      </c>
      <c r="F12" s="60">
        <v>2</v>
      </c>
      <c r="G12" s="60">
        <v>23</v>
      </c>
      <c r="H12" s="60">
        <v>21</v>
      </c>
      <c r="I12" s="60">
        <v>0</v>
      </c>
      <c r="J12" s="60">
        <v>0</v>
      </c>
      <c r="K12" s="60">
        <v>0</v>
      </c>
      <c r="L12" s="61">
        <v>1</v>
      </c>
      <c r="M12" s="318" t="s">
        <v>95</v>
      </c>
      <c r="N12" s="319"/>
      <c r="O12" s="319"/>
      <c r="P12" s="319"/>
      <c r="Q12" s="319"/>
      <c r="R12" s="319"/>
      <c r="S12" s="319"/>
      <c r="T12" s="319"/>
      <c r="U12" s="319"/>
      <c r="V12" s="320"/>
      <c r="W12" s="196"/>
      <c r="X12" s="62" t="s">
        <v>82</v>
      </c>
      <c r="Y12" s="60" t="s">
        <v>83</v>
      </c>
    </row>
    <row r="13" spans="1:25" s="60" customFormat="1" ht="36" customHeight="1" x14ac:dyDescent="0.35">
      <c r="A13" s="56" t="s">
        <v>97</v>
      </c>
      <c r="B13" s="57">
        <v>42031</v>
      </c>
      <c r="C13" s="56">
        <v>159650</v>
      </c>
      <c r="D13" s="58">
        <v>42023</v>
      </c>
      <c r="E13" s="59">
        <v>42025</v>
      </c>
      <c r="F13" s="60">
        <v>2</v>
      </c>
      <c r="G13" s="60">
        <v>23</v>
      </c>
      <c r="H13" s="60">
        <v>21</v>
      </c>
      <c r="I13" s="60">
        <v>0</v>
      </c>
      <c r="J13" s="60">
        <v>0</v>
      </c>
      <c r="K13" s="60">
        <v>0</v>
      </c>
      <c r="L13" s="61">
        <v>1</v>
      </c>
      <c r="M13" s="318" t="s">
        <v>95</v>
      </c>
      <c r="N13" s="319"/>
      <c r="O13" s="319"/>
      <c r="P13" s="319"/>
      <c r="Q13" s="319"/>
      <c r="R13" s="319"/>
      <c r="S13" s="319"/>
      <c r="T13" s="319"/>
      <c r="U13" s="319"/>
      <c r="V13" s="320"/>
      <c r="W13" s="196"/>
      <c r="X13" s="62" t="s">
        <v>82</v>
      </c>
      <c r="Y13" s="60" t="s">
        <v>83</v>
      </c>
    </row>
    <row r="14" spans="1:25" s="60" customFormat="1" ht="36" customHeight="1" x14ac:dyDescent="0.35">
      <c r="A14" s="56" t="s">
        <v>97</v>
      </c>
      <c r="B14" s="57">
        <v>42031</v>
      </c>
      <c r="C14" s="56">
        <v>37943</v>
      </c>
      <c r="D14" s="58">
        <v>42024</v>
      </c>
      <c r="E14" s="59">
        <v>42030</v>
      </c>
      <c r="F14" s="60">
        <v>6</v>
      </c>
      <c r="G14" s="60">
        <v>23</v>
      </c>
      <c r="H14" s="60">
        <v>21</v>
      </c>
      <c r="I14" s="60">
        <v>0</v>
      </c>
      <c r="J14" s="60">
        <v>0</v>
      </c>
      <c r="K14" s="60">
        <v>2</v>
      </c>
      <c r="L14" s="61">
        <v>0.91</v>
      </c>
      <c r="M14" s="318" t="s">
        <v>98</v>
      </c>
      <c r="N14" s="319"/>
      <c r="O14" s="319"/>
      <c r="P14" s="319"/>
      <c r="Q14" s="319"/>
      <c r="R14" s="319"/>
      <c r="S14" s="319"/>
      <c r="T14" s="319"/>
      <c r="U14" s="319"/>
      <c r="V14" s="320"/>
      <c r="W14" s="196"/>
      <c r="X14" s="62" t="s">
        <v>82</v>
      </c>
      <c r="Y14" s="60" t="s">
        <v>83</v>
      </c>
    </row>
    <row r="15" spans="1:25" s="60" customFormat="1" ht="36" customHeight="1" x14ac:dyDescent="0.35">
      <c r="A15" s="56" t="s">
        <v>99</v>
      </c>
      <c r="B15" s="57" t="s">
        <v>80</v>
      </c>
      <c r="C15" s="56">
        <v>44323</v>
      </c>
      <c r="D15" s="58">
        <v>41964</v>
      </c>
      <c r="E15" s="59">
        <v>42020</v>
      </c>
      <c r="F15" s="60">
        <v>56</v>
      </c>
      <c r="G15" s="60">
        <v>23</v>
      </c>
      <c r="H15" s="60">
        <v>21</v>
      </c>
      <c r="I15" s="60">
        <v>0</v>
      </c>
      <c r="J15" s="60">
        <v>0</v>
      </c>
      <c r="K15" s="60">
        <v>0</v>
      </c>
      <c r="L15" s="61">
        <v>1</v>
      </c>
      <c r="M15" s="318" t="s">
        <v>100</v>
      </c>
      <c r="N15" s="319"/>
      <c r="O15" s="319"/>
      <c r="P15" s="319"/>
      <c r="Q15" s="319"/>
      <c r="R15" s="319"/>
      <c r="S15" s="319"/>
      <c r="T15" s="319"/>
      <c r="U15" s="319"/>
      <c r="V15" s="320"/>
      <c r="W15" s="196"/>
      <c r="X15" s="62" t="s">
        <v>82</v>
      </c>
      <c r="Y15" s="60" t="s">
        <v>83</v>
      </c>
    </row>
    <row r="16" spans="1:25" s="60" customFormat="1" ht="36" customHeight="1" thickBot="1" x14ac:dyDescent="0.4">
      <c r="A16" s="63" t="s">
        <v>99</v>
      </c>
      <c r="B16" s="64" t="s">
        <v>80</v>
      </c>
      <c r="C16" s="63">
        <v>4521</v>
      </c>
      <c r="D16" s="58">
        <v>42013</v>
      </c>
      <c r="E16" s="59">
        <v>42031</v>
      </c>
      <c r="F16" s="60">
        <v>18</v>
      </c>
      <c r="G16" s="60">
        <v>23</v>
      </c>
      <c r="H16" s="60">
        <v>21</v>
      </c>
      <c r="I16" s="60">
        <v>0</v>
      </c>
      <c r="J16" s="60">
        <v>0</v>
      </c>
      <c r="K16" s="60">
        <v>0</v>
      </c>
      <c r="L16" s="61">
        <v>1</v>
      </c>
      <c r="M16" s="323" t="s">
        <v>100</v>
      </c>
      <c r="N16" s="324"/>
      <c r="O16" s="324"/>
      <c r="P16" s="324"/>
      <c r="Q16" s="324"/>
      <c r="R16" s="324"/>
      <c r="S16" s="324"/>
      <c r="T16" s="324"/>
      <c r="U16" s="324"/>
      <c r="V16" s="325"/>
      <c r="W16" s="196"/>
      <c r="X16" s="62" t="s">
        <v>82</v>
      </c>
      <c r="Y16" s="60" t="s">
        <v>83</v>
      </c>
    </row>
    <row r="17" spans="1:26" s="68" customFormat="1" ht="36" customHeight="1" x14ac:dyDescent="0.35">
      <c r="A17" s="65" t="s">
        <v>101</v>
      </c>
      <c r="B17" s="66" t="s">
        <v>102</v>
      </c>
      <c r="C17" s="67">
        <v>97456</v>
      </c>
      <c r="D17" s="68" t="s">
        <v>103</v>
      </c>
      <c r="E17" s="68" t="s">
        <v>103</v>
      </c>
      <c r="F17" s="68">
        <v>0</v>
      </c>
      <c r="G17" s="68">
        <v>6</v>
      </c>
      <c r="H17" s="68">
        <v>38</v>
      </c>
      <c r="I17" s="68">
        <v>0</v>
      </c>
      <c r="J17" s="68">
        <v>0</v>
      </c>
      <c r="K17" s="68">
        <v>1</v>
      </c>
      <c r="L17" s="69">
        <v>0.8571428571428571</v>
      </c>
      <c r="M17" s="315" t="s">
        <v>104</v>
      </c>
      <c r="N17" s="316"/>
      <c r="O17" s="316"/>
      <c r="P17" s="316"/>
      <c r="Q17" s="316"/>
      <c r="R17" s="316"/>
      <c r="S17" s="316"/>
      <c r="T17" s="316"/>
      <c r="U17" s="316"/>
      <c r="V17" s="317"/>
      <c r="W17" s="197"/>
      <c r="X17" s="70">
        <v>42047</v>
      </c>
      <c r="Y17" s="68" t="s">
        <v>105</v>
      </c>
      <c r="Z17" s="71"/>
    </row>
    <row r="18" spans="1:26" s="73" customFormat="1" ht="36" customHeight="1" x14ac:dyDescent="0.35">
      <c r="A18" s="72" t="s">
        <v>106</v>
      </c>
      <c r="B18" s="12" t="s">
        <v>102</v>
      </c>
      <c r="C18" s="8">
        <v>77741</v>
      </c>
      <c r="D18" s="73" t="s">
        <v>103</v>
      </c>
      <c r="E18" s="73" t="s">
        <v>103</v>
      </c>
      <c r="F18" s="73">
        <v>0</v>
      </c>
      <c r="G18" s="73">
        <v>6</v>
      </c>
      <c r="H18" s="73">
        <v>38</v>
      </c>
      <c r="I18" s="73">
        <v>0</v>
      </c>
      <c r="J18" s="73">
        <v>0</v>
      </c>
      <c r="K18" s="73">
        <v>1</v>
      </c>
      <c r="L18" s="74">
        <v>0.8571428571428571</v>
      </c>
      <c r="M18" s="303" t="s">
        <v>107</v>
      </c>
      <c r="N18" s="304"/>
      <c r="O18" s="304"/>
      <c r="P18" s="304"/>
      <c r="Q18" s="304"/>
      <c r="R18" s="304"/>
      <c r="S18" s="304"/>
      <c r="T18" s="304"/>
      <c r="U18" s="304"/>
      <c r="V18" s="305"/>
      <c r="W18" s="197"/>
      <c r="X18" s="75">
        <v>42047</v>
      </c>
      <c r="Y18" s="73" t="s">
        <v>105</v>
      </c>
      <c r="Z18" s="76"/>
    </row>
    <row r="19" spans="1:26" s="73" customFormat="1" ht="36" customHeight="1" x14ac:dyDescent="0.35">
      <c r="A19" s="72" t="s">
        <v>96</v>
      </c>
      <c r="B19" s="12" t="s">
        <v>102</v>
      </c>
      <c r="C19" s="8">
        <v>11989</v>
      </c>
      <c r="D19" s="73" t="s">
        <v>103</v>
      </c>
      <c r="E19" s="73" t="s">
        <v>103</v>
      </c>
      <c r="F19" s="73">
        <v>0</v>
      </c>
      <c r="G19" s="73">
        <v>6</v>
      </c>
      <c r="H19" s="73">
        <v>38</v>
      </c>
      <c r="I19" s="73">
        <v>0</v>
      </c>
      <c r="J19" s="73">
        <v>0</v>
      </c>
      <c r="K19" s="73">
        <v>1</v>
      </c>
      <c r="L19" s="74">
        <v>0.8571428571428571</v>
      </c>
      <c r="M19" s="303" t="s">
        <v>108</v>
      </c>
      <c r="N19" s="304"/>
      <c r="O19" s="304"/>
      <c r="P19" s="304"/>
      <c r="Q19" s="304"/>
      <c r="R19" s="304"/>
      <c r="S19" s="304"/>
      <c r="T19" s="304"/>
      <c r="U19" s="304"/>
      <c r="V19" s="305"/>
      <c r="W19" s="197"/>
      <c r="X19" s="75">
        <v>42047</v>
      </c>
      <c r="Y19" s="73" t="s">
        <v>105</v>
      </c>
      <c r="Z19" s="76"/>
    </row>
    <row r="20" spans="1:26" s="73" customFormat="1" ht="36" customHeight="1" x14ac:dyDescent="0.35">
      <c r="A20" s="72" t="s">
        <v>101</v>
      </c>
      <c r="B20" s="12" t="s">
        <v>102</v>
      </c>
      <c r="C20" s="8">
        <v>61934</v>
      </c>
      <c r="D20" s="73" t="s">
        <v>103</v>
      </c>
      <c r="E20" s="73" t="s">
        <v>103</v>
      </c>
      <c r="F20" s="73">
        <v>0</v>
      </c>
      <c r="G20" s="73">
        <v>6</v>
      </c>
      <c r="H20" s="73">
        <v>38</v>
      </c>
      <c r="I20" s="73">
        <v>0</v>
      </c>
      <c r="J20" s="73">
        <v>0</v>
      </c>
      <c r="K20" s="73">
        <v>1</v>
      </c>
      <c r="L20" s="74">
        <v>0.8571428571428571</v>
      </c>
      <c r="M20" s="303" t="s">
        <v>109</v>
      </c>
      <c r="N20" s="304"/>
      <c r="O20" s="304"/>
      <c r="P20" s="304"/>
      <c r="Q20" s="304"/>
      <c r="R20" s="304"/>
      <c r="S20" s="304"/>
      <c r="T20" s="304"/>
      <c r="U20" s="304"/>
      <c r="V20" s="305"/>
      <c r="W20" s="197"/>
      <c r="X20" s="75">
        <v>42047</v>
      </c>
      <c r="Y20" s="73" t="s">
        <v>105</v>
      </c>
      <c r="Z20" s="76"/>
    </row>
    <row r="21" spans="1:26" s="73" customFormat="1" ht="36" customHeight="1" x14ac:dyDescent="0.35">
      <c r="A21" s="72" t="s">
        <v>106</v>
      </c>
      <c r="B21" s="12" t="s">
        <v>102</v>
      </c>
      <c r="C21" s="8">
        <v>36527</v>
      </c>
      <c r="D21" s="73" t="s">
        <v>103</v>
      </c>
      <c r="E21" s="73" t="s">
        <v>103</v>
      </c>
      <c r="F21" s="73">
        <v>0</v>
      </c>
      <c r="G21" s="73">
        <v>5</v>
      </c>
      <c r="H21" s="73">
        <v>39</v>
      </c>
      <c r="I21" s="73">
        <v>0</v>
      </c>
      <c r="J21" s="73">
        <v>0</v>
      </c>
      <c r="K21" s="73">
        <v>2</v>
      </c>
      <c r="L21" s="74">
        <v>0.7142857142857143</v>
      </c>
      <c r="M21" s="303" t="s">
        <v>110</v>
      </c>
      <c r="N21" s="304"/>
      <c r="O21" s="304"/>
      <c r="P21" s="304"/>
      <c r="Q21" s="304"/>
      <c r="R21" s="304"/>
      <c r="S21" s="304"/>
      <c r="T21" s="304"/>
      <c r="U21" s="304"/>
      <c r="V21" s="305"/>
      <c r="W21" s="197"/>
      <c r="X21" s="75">
        <v>42047</v>
      </c>
      <c r="Y21" s="73" t="s">
        <v>105</v>
      </c>
      <c r="Z21" s="76"/>
    </row>
    <row r="22" spans="1:26" s="73" customFormat="1" ht="36" customHeight="1" x14ac:dyDescent="0.35">
      <c r="A22" s="72" t="s">
        <v>85</v>
      </c>
      <c r="B22" s="12" t="s">
        <v>111</v>
      </c>
      <c r="C22" s="8">
        <v>58421</v>
      </c>
      <c r="D22" s="73" t="s">
        <v>103</v>
      </c>
      <c r="E22" s="73" t="s">
        <v>103</v>
      </c>
      <c r="F22" s="73">
        <v>0</v>
      </c>
      <c r="G22" s="73">
        <v>5</v>
      </c>
      <c r="H22" s="73">
        <v>39</v>
      </c>
      <c r="I22" s="73">
        <v>0</v>
      </c>
      <c r="J22" s="73">
        <v>0</v>
      </c>
      <c r="K22" s="73">
        <v>2</v>
      </c>
      <c r="L22" s="74">
        <v>0.7142857142857143</v>
      </c>
      <c r="M22" s="303" t="s">
        <v>112</v>
      </c>
      <c r="N22" s="304"/>
      <c r="O22" s="304"/>
      <c r="P22" s="304"/>
      <c r="Q22" s="304"/>
      <c r="R22" s="304"/>
      <c r="S22" s="304"/>
      <c r="T22" s="304"/>
      <c r="U22" s="304"/>
      <c r="V22" s="305"/>
      <c r="W22" s="197"/>
      <c r="X22" s="75">
        <v>42047</v>
      </c>
      <c r="Y22" s="73" t="s">
        <v>105</v>
      </c>
      <c r="Z22" s="76"/>
    </row>
    <row r="23" spans="1:26" s="73" customFormat="1" ht="36" customHeight="1" x14ac:dyDescent="0.35">
      <c r="A23" s="72" t="s">
        <v>113</v>
      </c>
      <c r="B23" s="12" t="s">
        <v>111</v>
      </c>
      <c r="C23" s="8">
        <v>299</v>
      </c>
      <c r="D23" s="73" t="s">
        <v>103</v>
      </c>
      <c r="E23" s="73" t="s">
        <v>103</v>
      </c>
      <c r="F23" s="73">
        <v>0</v>
      </c>
      <c r="G23" s="73">
        <v>5</v>
      </c>
      <c r="H23" s="73">
        <v>39</v>
      </c>
      <c r="I23" s="73">
        <v>0</v>
      </c>
      <c r="J23" s="73">
        <v>0</v>
      </c>
      <c r="K23" s="73">
        <v>2</v>
      </c>
      <c r="L23" s="74">
        <v>0.7142857142857143</v>
      </c>
      <c r="M23" s="303" t="s">
        <v>114</v>
      </c>
      <c r="N23" s="304"/>
      <c r="O23" s="304"/>
      <c r="P23" s="304"/>
      <c r="Q23" s="304"/>
      <c r="R23" s="304"/>
      <c r="S23" s="304"/>
      <c r="T23" s="304"/>
      <c r="U23" s="304"/>
      <c r="V23" s="305"/>
      <c r="W23" s="197" t="s">
        <v>290</v>
      </c>
      <c r="X23" s="75">
        <v>42047</v>
      </c>
      <c r="Y23" s="73" t="s">
        <v>105</v>
      </c>
      <c r="Z23" s="76"/>
    </row>
    <row r="24" spans="1:26" s="73" customFormat="1" ht="36" customHeight="1" x14ac:dyDescent="0.35">
      <c r="A24" s="72" t="s">
        <v>115</v>
      </c>
      <c r="B24" s="12" t="s">
        <v>111</v>
      </c>
      <c r="C24" s="8">
        <v>79416</v>
      </c>
      <c r="D24" s="73" t="s">
        <v>103</v>
      </c>
      <c r="E24" s="73" t="s">
        <v>103</v>
      </c>
      <c r="F24" s="73">
        <v>0</v>
      </c>
      <c r="G24" s="73">
        <v>5</v>
      </c>
      <c r="H24" s="73">
        <v>39</v>
      </c>
      <c r="I24" s="73">
        <v>0</v>
      </c>
      <c r="J24" s="73">
        <v>0</v>
      </c>
      <c r="K24" s="73">
        <v>2</v>
      </c>
      <c r="L24" s="74">
        <v>0.7142857142857143</v>
      </c>
      <c r="M24" s="303" t="s">
        <v>116</v>
      </c>
      <c r="N24" s="304"/>
      <c r="O24" s="304"/>
      <c r="P24" s="304"/>
      <c r="Q24" s="304"/>
      <c r="R24" s="304"/>
      <c r="S24" s="304"/>
      <c r="T24" s="304"/>
      <c r="U24" s="304"/>
      <c r="V24" s="305"/>
      <c r="W24" s="197" t="s">
        <v>290</v>
      </c>
      <c r="X24" s="75">
        <v>42047</v>
      </c>
      <c r="Y24" s="73" t="s">
        <v>105</v>
      </c>
      <c r="Z24" s="76"/>
    </row>
    <row r="25" spans="1:26" s="73" customFormat="1" ht="36" customHeight="1" x14ac:dyDescent="0.35">
      <c r="A25" s="72" t="s">
        <v>99</v>
      </c>
      <c r="B25" s="12" t="s">
        <v>111</v>
      </c>
      <c r="C25" s="8">
        <v>40489</v>
      </c>
      <c r="D25" s="73" t="s">
        <v>103</v>
      </c>
      <c r="E25" s="73" t="s">
        <v>103</v>
      </c>
      <c r="F25" s="73">
        <v>0</v>
      </c>
      <c r="G25" s="73">
        <v>7</v>
      </c>
      <c r="H25" s="73">
        <v>37</v>
      </c>
      <c r="I25" s="73">
        <v>0</v>
      </c>
      <c r="J25" s="73">
        <v>0</v>
      </c>
      <c r="K25" s="73">
        <v>0</v>
      </c>
      <c r="L25" s="74">
        <v>1</v>
      </c>
      <c r="M25" s="303" t="s">
        <v>117</v>
      </c>
      <c r="N25" s="304"/>
      <c r="O25" s="304"/>
      <c r="P25" s="304"/>
      <c r="Q25" s="304"/>
      <c r="R25" s="304"/>
      <c r="S25" s="304"/>
      <c r="T25" s="304"/>
      <c r="U25" s="304"/>
      <c r="V25" s="305"/>
      <c r="W25" s="197" t="s">
        <v>290</v>
      </c>
      <c r="X25" s="75">
        <v>42047</v>
      </c>
      <c r="Y25" s="73" t="s">
        <v>105</v>
      </c>
      <c r="Z25" s="76"/>
    </row>
    <row r="26" spans="1:26" s="73" customFormat="1" ht="36" customHeight="1" x14ac:dyDescent="0.35">
      <c r="A26" s="72" t="s">
        <v>113</v>
      </c>
      <c r="B26" s="12" t="s">
        <v>111</v>
      </c>
      <c r="C26" s="8">
        <v>42262</v>
      </c>
      <c r="D26" s="73" t="s">
        <v>103</v>
      </c>
      <c r="E26" s="73" t="s">
        <v>103</v>
      </c>
      <c r="F26" s="73">
        <v>0</v>
      </c>
      <c r="G26" s="73">
        <v>5</v>
      </c>
      <c r="H26" s="73">
        <v>39</v>
      </c>
      <c r="I26" s="73">
        <v>0</v>
      </c>
      <c r="J26" s="73">
        <v>0</v>
      </c>
      <c r="K26" s="73">
        <v>2</v>
      </c>
      <c r="L26" s="74">
        <v>0.7142857142857143</v>
      </c>
      <c r="M26" s="303" t="s">
        <v>118</v>
      </c>
      <c r="N26" s="304"/>
      <c r="O26" s="304"/>
      <c r="P26" s="304"/>
      <c r="Q26" s="304"/>
      <c r="R26" s="304"/>
      <c r="S26" s="304"/>
      <c r="T26" s="304"/>
      <c r="U26" s="304"/>
      <c r="V26" s="305"/>
      <c r="W26" s="197" t="s">
        <v>290</v>
      </c>
      <c r="X26" s="75">
        <v>42047</v>
      </c>
      <c r="Y26" s="73" t="s">
        <v>105</v>
      </c>
      <c r="Z26" s="76"/>
    </row>
    <row r="27" spans="1:26" s="73" customFormat="1" ht="36" customHeight="1" x14ac:dyDescent="0.35">
      <c r="A27" s="72" t="s">
        <v>119</v>
      </c>
      <c r="B27" s="12" t="s">
        <v>111</v>
      </c>
      <c r="C27" s="8">
        <v>30016</v>
      </c>
      <c r="D27" s="73" t="s">
        <v>103</v>
      </c>
      <c r="E27" s="73" t="s">
        <v>103</v>
      </c>
      <c r="F27" s="73">
        <v>0</v>
      </c>
      <c r="G27" s="73">
        <v>7</v>
      </c>
      <c r="H27" s="73">
        <v>37</v>
      </c>
      <c r="I27" s="73">
        <v>0</v>
      </c>
      <c r="J27" s="73">
        <v>0</v>
      </c>
      <c r="K27" s="73">
        <v>0</v>
      </c>
      <c r="L27" s="74">
        <v>1</v>
      </c>
      <c r="M27" s="303" t="s">
        <v>120</v>
      </c>
      <c r="N27" s="304"/>
      <c r="O27" s="304"/>
      <c r="P27" s="304"/>
      <c r="Q27" s="304"/>
      <c r="R27" s="304"/>
      <c r="S27" s="304"/>
      <c r="T27" s="304"/>
      <c r="U27" s="304"/>
      <c r="V27" s="305"/>
      <c r="W27" s="197" t="s">
        <v>290</v>
      </c>
      <c r="X27" s="75">
        <v>42047</v>
      </c>
      <c r="Y27" s="73" t="s">
        <v>105</v>
      </c>
      <c r="Z27" s="76"/>
    </row>
    <row r="28" spans="1:26" s="73" customFormat="1" ht="36" customHeight="1" x14ac:dyDescent="0.35">
      <c r="A28" s="72" t="s">
        <v>119</v>
      </c>
      <c r="B28" s="12" t="s">
        <v>111</v>
      </c>
      <c r="C28" s="8">
        <v>3230</v>
      </c>
      <c r="D28" s="73" t="s">
        <v>103</v>
      </c>
      <c r="E28" s="73" t="s">
        <v>103</v>
      </c>
      <c r="F28" s="73">
        <v>0</v>
      </c>
      <c r="G28" s="73">
        <v>7</v>
      </c>
      <c r="H28" s="73">
        <v>37</v>
      </c>
      <c r="I28" s="73">
        <v>0</v>
      </c>
      <c r="J28" s="73">
        <v>0</v>
      </c>
      <c r="K28" s="73">
        <v>0</v>
      </c>
      <c r="L28" s="74">
        <v>1</v>
      </c>
      <c r="M28" s="303" t="s">
        <v>121</v>
      </c>
      <c r="N28" s="304"/>
      <c r="O28" s="304"/>
      <c r="P28" s="304"/>
      <c r="Q28" s="304"/>
      <c r="R28" s="304"/>
      <c r="S28" s="304"/>
      <c r="T28" s="304"/>
      <c r="U28" s="304"/>
      <c r="V28" s="305"/>
      <c r="W28" s="197" t="s">
        <v>290</v>
      </c>
      <c r="X28" s="75">
        <v>42047</v>
      </c>
      <c r="Y28" s="73" t="s">
        <v>105</v>
      </c>
      <c r="Z28" s="76"/>
    </row>
    <row r="29" spans="1:26" s="73" customFormat="1" ht="36" customHeight="1" x14ac:dyDescent="0.35">
      <c r="A29" s="72" t="s">
        <v>115</v>
      </c>
      <c r="B29" s="12" t="s">
        <v>111</v>
      </c>
      <c r="C29" s="8">
        <v>10132</v>
      </c>
      <c r="D29" s="73" t="s">
        <v>103</v>
      </c>
      <c r="E29" s="73" t="s">
        <v>103</v>
      </c>
      <c r="F29" s="73">
        <v>0</v>
      </c>
      <c r="G29" s="73">
        <v>5</v>
      </c>
      <c r="H29" s="73">
        <v>39</v>
      </c>
      <c r="I29" s="73">
        <v>0</v>
      </c>
      <c r="J29" s="73">
        <v>0</v>
      </c>
      <c r="K29" s="73">
        <v>2</v>
      </c>
      <c r="L29" s="74">
        <v>0.7142857142857143</v>
      </c>
      <c r="M29" s="303" t="s">
        <v>122</v>
      </c>
      <c r="N29" s="304"/>
      <c r="O29" s="304"/>
      <c r="P29" s="304"/>
      <c r="Q29" s="304"/>
      <c r="R29" s="304"/>
      <c r="S29" s="304"/>
      <c r="T29" s="304"/>
      <c r="U29" s="304"/>
      <c r="V29" s="305"/>
      <c r="W29" s="197" t="s">
        <v>290</v>
      </c>
      <c r="X29" s="75">
        <v>42047</v>
      </c>
      <c r="Y29" s="73" t="s">
        <v>105</v>
      </c>
      <c r="Z29" s="76"/>
    </row>
    <row r="30" spans="1:26" s="73" customFormat="1" ht="36" customHeight="1" x14ac:dyDescent="0.35">
      <c r="A30" s="72" t="s">
        <v>85</v>
      </c>
      <c r="B30" s="12" t="s">
        <v>111</v>
      </c>
      <c r="C30" s="8">
        <v>7340</v>
      </c>
      <c r="D30" s="73" t="s">
        <v>103</v>
      </c>
      <c r="E30" s="73" t="s">
        <v>103</v>
      </c>
      <c r="F30" s="73">
        <v>0</v>
      </c>
      <c r="G30" s="73">
        <v>7</v>
      </c>
      <c r="H30" s="73">
        <v>37</v>
      </c>
      <c r="I30" s="73">
        <v>0</v>
      </c>
      <c r="J30" s="73">
        <v>0</v>
      </c>
      <c r="K30" s="73">
        <v>0</v>
      </c>
      <c r="L30" s="74">
        <v>1</v>
      </c>
      <c r="M30" s="303" t="s">
        <v>117</v>
      </c>
      <c r="N30" s="304"/>
      <c r="O30" s="304"/>
      <c r="P30" s="304"/>
      <c r="Q30" s="304"/>
      <c r="R30" s="304"/>
      <c r="S30" s="304"/>
      <c r="T30" s="304"/>
      <c r="U30" s="304"/>
      <c r="V30" s="305"/>
      <c r="W30" s="197" t="s">
        <v>290</v>
      </c>
      <c r="X30" s="75">
        <v>42047</v>
      </c>
      <c r="Y30" s="73" t="s">
        <v>105</v>
      </c>
      <c r="Z30" s="76"/>
    </row>
    <row r="31" spans="1:26" s="80" customFormat="1" ht="36" customHeight="1" thickBot="1" x14ac:dyDescent="0.4">
      <c r="A31" s="77" t="s">
        <v>94</v>
      </c>
      <c r="B31" s="78" t="s">
        <v>111</v>
      </c>
      <c r="C31" s="79">
        <v>5260</v>
      </c>
      <c r="D31" s="80" t="s">
        <v>103</v>
      </c>
      <c r="E31" s="80" t="s">
        <v>103</v>
      </c>
      <c r="F31" s="80">
        <v>0</v>
      </c>
      <c r="G31" s="80">
        <v>7</v>
      </c>
      <c r="H31" s="80">
        <v>37</v>
      </c>
      <c r="I31" s="80">
        <v>0</v>
      </c>
      <c r="J31" s="80">
        <v>0</v>
      </c>
      <c r="K31" s="80">
        <v>0</v>
      </c>
      <c r="L31" s="81">
        <v>1</v>
      </c>
      <c r="M31" s="312" t="s">
        <v>117</v>
      </c>
      <c r="N31" s="313"/>
      <c r="O31" s="313"/>
      <c r="P31" s="313"/>
      <c r="Q31" s="313"/>
      <c r="R31" s="313"/>
      <c r="S31" s="313"/>
      <c r="T31" s="313"/>
      <c r="U31" s="313"/>
      <c r="V31" s="314"/>
      <c r="W31" s="197" t="s">
        <v>290</v>
      </c>
      <c r="X31" s="82">
        <v>42047</v>
      </c>
      <c r="Y31" s="80" t="s">
        <v>105</v>
      </c>
      <c r="Z31" s="83"/>
    </row>
    <row r="32" spans="1:26" s="68" customFormat="1" ht="36" customHeight="1" x14ac:dyDescent="0.35">
      <c r="A32" s="65" t="s">
        <v>123</v>
      </c>
      <c r="B32" s="66">
        <v>42086</v>
      </c>
      <c r="C32" s="67">
        <v>30016</v>
      </c>
      <c r="D32" s="84">
        <v>42075</v>
      </c>
      <c r="E32" s="84">
        <v>42082</v>
      </c>
      <c r="F32" s="68">
        <v>-42075</v>
      </c>
      <c r="G32" s="68">
        <v>22</v>
      </c>
      <c r="H32" s="68">
        <v>1</v>
      </c>
      <c r="I32" s="68">
        <v>0</v>
      </c>
      <c r="J32" s="68">
        <v>0</v>
      </c>
      <c r="K32" s="68">
        <v>1</v>
      </c>
      <c r="L32" s="69">
        <v>0</v>
      </c>
      <c r="M32" s="315" t="s">
        <v>124</v>
      </c>
      <c r="N32" s="316"/>
      <c r="O32" s="316"/>
      <c r="P32" s="316"/>
      <c r="Q32" s="316"/>
      <c r="R32" s="316"/>
      <c r="S32" s="316"/>
      <c r="T32" s="316"/>
      <c r="U32" s="316"/>
      <c r="V32" s="317"/>
      <c r="W32" s="197" t="s">
        <v>290</v>
      </c>
      <c r="X32" s="70">
        <v>42086</v>
      </c>
      <c r="Y32" s="68" t="s">
        <v>125</v>
      </c>
    </row>
    <row r="33" spans="1:25" s="73" customFormat="1" ht="36" customHeight="1" x14ac:dyDescent="0.35">
      <c r="A33" s="72" t="s">
        <v>123</v>
      </c>
      <c r="B33" s="12">
        <v>42086</v>
      </c>
      <c r="C33" s="8">
        <v>5260</v>
      </c>
      <c r="D33" s="25">
        <v>41970</v>
      </c>
      <c r="E33" s="27">
        <v>42082</v>
      </c>
      <c r="F33" s="73">
        <v>112</v>
      </c>
      <c r="G33" s="73">
        <v>34</v>
      </c>
      <c r="H33" s="73">
        <v>0</v>
      </c>
      <c r="I33" s="73">
        <v>0</v>
      </c>
      <c r="J33" s="73">
        <v>0</v>
      </c>
      <c r="K33" s="73">
        <v>0</v>
      </c>
      <c r="L33" s="74">
        <v>0.77272727272727271</v>
      </c>
      <c r="M33" s="303" t="s">
        <v>126</v>
      </c>
      <c r="N33" s="304"/>
      <c r="O33" s="304"/>
      <c r="P33" s="304"/>
      <c r="Q33" s="304"/>
      <c r="R33" s="304"/>
      <c r="S33" s="304"/>
      <c r="T33" s="304"/>
      <c r="U33" s="304"/>
      <c r="V33" s="305"/>
      <c r="W33" s="197" t="s">
        <v>290</v>
      </c>
      <c r="X33" s="75">
        <v>42086</v>
      </c>
      <c r="Y33" s="73" t="s">
        <v>125</v>
      </c>
    </row>
    <row r="34" spans="1:25" s="73" customFormat="1" ht="36" customHeight="1" x14ac:dyDescent="0.35">
      <c r="A34" s="72" t="s">
        <v>127</v>
      </c>
      <c r="B34" s="12">
        <v>42086</v>
      </c>
      <c r="C34" s="85">
        <v>29119</v>
      </c>
      <c r="D34" s="25">
        <v>42072</v>
      </c>
      <c r="E34" s="86" t="s">
        <v>103</v>
      </c>
      <c r="F34" s="73">
        <v>-42072</v>
      </c>
      <c r="G34" s="73">
        <v>27</v>
      </c>
      <c r="H34" s="73">
        <v>0</v>
      </c>
      <c r="I34" s="73">
        <v>0</v>
      </c>
      <c r="J34" s="73">
        <v>0</v>
      </c>
      <c r="K34" s="73">
        <v>0</v>
      </c>
      <c r="L34" s="74">
        <v>0.61363636363636365</v>
      </c>
      <c r="M34" s="303" t="s">
        <v>128</v>
      </c>
      <c r="N34" s="304"/>
      <c r="O34" s="304"/>
      <c r="P34" s="304"/>
      <c r="Q34" s="304"/>
      <c r="R34" s="304"/>
      <c r="S34" s="304"/>
      <c r="T34" s="304"/>
      <c r="U34" s="304"/>
      <c r="V34" s="305"/>
      <c r="W34" s="197" t="s">
        <v>290</v>
      </c>
      <c r="X34" s="75">
        <v>42086</v>
      </c>
      <c r="Y34" s="73" t="s">
        <v>125</v>
      </c>
    </row>
    <row r="35" spans="1:25" s="73" customFormat="1" ht="36" customHeight="1" x14ac:dyDescent="0.35">
      <c r="A35" s="72" t="s">
        <v>127</v>
      </c>
      <c r="B35" s="12">
        <v>42086</v>
      </c>
      <c r="C35" s="87">
        <v>168782</v>
      </c>
      <c r="D35" s="25">
        <v>42076</v>
      </c>
      <c r="E35" s="86" t="s">
        <v>103</v>
      </c>
      <c r="F35" s="73">
        <v>6</v>
      </c>
      <c r="G35" s="73">
        <v>27</v>
      </c>
      <c r="H35" s="73">
        <v>7</v>
      </c>
      <c r="I35" s="73">
        <v>0</v>
      </c>
      <c r="J35" s="73">
        <v>0</v>
      </c>
      <c r="K35" s="73">
        <v>0</v>
      </c>
      <c r="L35" s="74">
        <v>0.72972972972972971</v>
      </c>
      <c r="M35" s="303" t="s">
        <v>129</v>
      </c>
      <c r="N35" s="304"/>
      <c r="O35" s="304"/>
      <c r="P35" s="304"/>
      <c r="Q35" s="304"/>
      <c r="R35" s="304"/>
      <c r="S35" s="304"/>
      <c r="T35" s="304"/>
      <c r="U35" s="304"/>
      <c r="V35" s="305"/>
      <c r="W35" s="197" t="s">
        <v>290</v>
      </c>
      <c r="X35" s="75">
        <v>42086</v>
      </c>
      <c r="Y35" s="73" t="s">
        <v>125</v>
      </c>
    </row>
    <row r="36" spans="1:25" s="73" customFormat="1" ht="36" customHeight="1" x14ac:dyDescent="0.35">
      <c r="A36" s="72" t="s">
        <v>130</v>
      </c>
      <c r="B36" s="12" t="s">
        <v>131</v>
      </c>
      <c r="C36" s="8">
        <v>6008205</v>
      </c>
      <c r="D36" s="25">
        <v>42066</v>
      </c>
      <c r="E36" s="86" t="s">
        <v>103</v>
      </c>
      <c r="F36" s="73">
        <v>-42066</v>
      </c>
      <c r="G36" s="73">
        <v>33</v>
      </c>
      <c r="H36" s="73">
        <v>1</v>
      </c>
      <c r="I36" s="73">
        <v>0</v>
      </c>
      <c r="J36" s="73">
        <v>0</v>
      </c>
      <c r="K36" s="73">
        <v>0</v>
      </c>
      <c r="L36" s="74">
        <v>0.75</v>
      </c>
      <c r="M36" s="326" t="s">
        <v>9</v>
      </c>
      <c r="N36" s="327"/>
      <c r="O36" s="327"/>
      <c r="P36" s="327"/>
      <c r="Q36" s="327"/>
      <c r="R36" s="327"/>
      <c r="S36" s="327"/>
      <c r="T36" s="327"/>
      <c r="U36" s="327"/>
      <c r="V36" s="328"/>
      <c r="W36" s="197" t="s">
        <v>290</v>
      </c>
      <c r="X36" s="75">
        <v>42087</v>
      </c>
      <c r="Y36" s="73" t="s">
        <v>132</v>
      </c>
    </row>
    <row r="37" spans="1:25" s="73" customFormat="1" ht="36" customHeight="1" x14ac:dyDescent="0.35">
      <c r="A37" s="72" t="s">
        <v>133</v>
      </c>
      <c r="B37" s="12" t="s">
        <v>131</v>
      </c>
      <c r="C37" s="8">
        <v>6002305</v>
      </c>
      <c r="D37" s="25">
        <v>42067</v>
      </c>
      <c r="E37" s="86" t="s">
        <v>103</v>
      </c>
      <c r="F37" s="73">
        <v>-42067</v>
      </c>
      <c r="G37" s="73">
        <v>33</v>
      </c>
      <c r="H37" s="73">
        <v>1</v>
      </c>
      <c r="I37" s="73">
        <v>0</v>
      </c>
      <c r="J37" s="73">
        <v>0</v>
      </c>
      <c r="K37" s="73">
        <v>1</v>
      </c>
      <c r="L37" s="74">
        <v>0.76744186046511631</v>
      </c>
      <c r="M37" s="303" t="s">
        <v>134</v>
      </c>
      <c r="N37" s="304"/>
      <c r="O37" s="304"/>
      <c r="P37" s="304"/>
      <c r="Q37" s="304"/>
      <c r="R37" s="304"/>
      <c r="S37" s="304"/>
      <c r="T37" s="304"/>
      <c r="U37" s="304"/>
      <c r="V37" s="305"/>
      <c r="W37" s="197" t="s">
        <v>290</v>
      </c>
      <c r="X37" s="75">
        <v>42087</v>
      </c>
      <c r="Y37" s="73" t="s">
        <v>132</v>
      </c>
    </row>
    <row r="38" spans="1:25" s="73" customFormat="1" ht="36" customHeight="1" x14ac:dyDescent="0.35">
      <c r="A38" s="72" t="s">
        <v>135</v>
      </c>
      <c r="B38" s="12">
        <v>42088</v>
      </c>
      <c r="C38" s="8">
        <v>6107275</v>
      </c>
      <c r="D38" s="88">
        <v>42087</v>
      </c>
      <c r="E38" s="89" t="s">
        <v>103</v>
      </c>
      <c r="F38" s="73">
        <v>-42087</v>
      </c>
      <c r="G38" s="73">
        <v>21</v>
      </c>
      <c r="H38" s="73">
        <v>2</v>
      </c>
      <c r="I38" s="73">
        <v>0</v>
      </c>
      <c r="J38" s="73">
        <v>1</v>
      </c>
      <c r="K38" s="73">
        <v>2</v>
      </c>
      <c r="L38" s="74">
        <v>0</v>
      </c>
      <c r="M38" s="303" t="s">
        <v>136</v>
      </c>
      <c r="N38" s="304"/>
      <c r="O38" s="304"/>
      <c r="P38" s="304"/>
      <c r="Q38" s="304"/>
      <c r="R38" s="304"/>
      <c r="S38" s="304"/>
      <c r="T38" s="304"/>
      <c r="U38" s="304"/>
      <c r="V38" s="305"/>
      <c r="W38" s="197" t="s">
        <v>290</v>
      </c>
      <c r="X38" s="75">
        <v>42088</v>
      </c>
      <c r="Y38" s="73" t="s">
        <v>132</v>
      </c>
    </row>
    <row r="39" spans="1:25" s="73" customFormat="1" ht="36" customHeight="1" x14ac:dyDescent="0.35">
      <c r="A39" s="72" t="s">
        <v>2</v>
      </c>
      <c r="B39" s="12">
        <v>42088</v>
      </c>
      <c r="C39" s="8">
        <v>6032598</v>
      </c>
      <c r="D39" s="25">
        <v>42072</v>
      </c>
      <c r="E39" s="89" t="s">
        <v>103</v>
      </c>
      <c r="F39" s="73">
        <v>-42072</v>
      </c>
      <c r="G39" s="73">
        <v>39</v>
      </c>
      <c r="H39" s="73">
        <v>4</v>
      </c>
      <c r="I39" s="73">
        <v>0</v>
      </c>
      <c r="J39" s="73">
        <v>1</v>
      </c>
      <c r="K39" s="73">
        <v>2</v>
      </c>
      <c r="L39" s="74">
        <v>0</v>
      </c>
      <c r="M39" s="303" t="s">
        <v>137</v>
      </c>
      <c r="N39" s="304"/>
      <c r="O39" s="304"/>
      <c r="P39" s="304"/>
      <c r="Q39" s="304"/>
      <c r="R39" s="304"/>
      <c r="S39" s="304"/>
      <c r="T39" s="304"/>
      <c r="U39" s="304"/>
      <c r="V39" s="305"/>
      <c r="W39" s="197" t="s">
        <v>290</v>
      </c>
      <c r="X39" s="75">
        <v>42090</v>
      </c>
      <c r="Y39" s="73" t="s">
        <v>138</v>
      </c>
    </row>
    <row r="40" spans="1:25" s="80" customFormat="1" ht="36" customHeight="1" thickBot="1" x14ac:dyDescent="0.4">
      <c r="A40" s="77" t="s">
        <v>2</v>
      </c>
      <c r="B40" s="78">
        <v>42086</v>
      </c>
      <c r="C40" s="80" t="s">
        <v>103</v>
      </c>
      <c r="D40" s="90">
        <v>42062</v>
      </c>
      <c r="E40" s="91" t="s">
        <v>103</v>
      </c>
      <c r="F40" s="80">
        <v>-42062</v>
      </c>
      <c r="G40" s="80">
        <v>41</v>
      </c>
      <c r="H40" s="80">
        <v>4</v>
      </c>
      <c r="I40" s="80">
        <v>0</v>
      </c>
      <c r="J40" s="80">
        <v>1</v>
      </c>
      <c r="K40" s="80">
        <v>2</v>
      </c>
      <c r="L40" s="81">
        <v>0</v>
      </c>
      <c r="M40" s="312" t="s">
        <v>137</v>
      </c>
      <c r="N40" s="313"/>
      <c r="O40" s="313"/>
      <c r="P40" s="313"/>
      <c r="Q40" s="313"/>
      <c r="R40" s="313"/>
      <c r="S40" s="313"/>
      <c r="T40" s="313"/>
      <c r="U40" s="313"/>
      <c r="V40" s="314"/>
      <c r="W40" s="197" t="s">
        <v>290</v>
      </c>
      <c r="X40" s="82">
        <v>42090</v>
      </c>
      <c r="Y40" s="80" t="s">
        <v>138</v>
      </c>
    </row>
    <row r="41" spans="1:25" ht="36" customHeight="1" x14ac:dyDescent="0.35">
      <c r="A41" s="108" t="s">
        <v>165</v>
      </c>
      <c r="B41" s="109" t="s">
        <v>165</v>
      </c>
      <c r="C41" s="108" t="s">
        <v>165</v>
      </c>
      <c r="D41" s="25">
        <v>42083</v>
      </c>
      <c r="E41" s="25">
        <v>42084</v>
      </c>
      <c r="F41">
        <v>1</v>
      </c>
      <c r="G41">
        <v>0</v>
      </c>
      <c r="H41">
        <v>0</v>
      </c>
      <c r="I41">
        <v>0</v>
      </c>
      <c r="J41">
        <v>0</v>
      </c>
      <c r="K41">
        <v>0</v>
      </c>
      <c r="L41" s="92" t="e">
        <v>#DIV/0!</v>
      </c>
      <c r="M41" s="303" t="s">
        <v>165</v>
      </c>
      <c r="N41" s="304"/>
      <c r="O41" s="304"/>
      <c r="P41" s="304"/>
      <c r="Q41" s="304"/>
      <c r="R41" s="304"/>
      <c r="S41" s="304"/>
      <c r="T41" s="304"/>
      <c r="U41" s="304"/>
      <c r="V41" s="305"/>
      <c r="W41" s="197" t="s">
        <v>290</v>
      </c>
      <c r="X41" s="93">
        <v>42108</v>
      </c>
      <c r="Y41" t="s">
        <v>139</v>
      </c>
    </row>
    <row r="42" spans="1:25" ht="36" customHeight="1" x14ac:dyDescent="0.35">
      <c r="A42" s="108" t="s">
        <v>166</v>
      </c>
      <c r="B42" s="109">
        <v>42090</v>
      </c>
      <c r="C42" s="108">
        <v>6118144</v>
      </c>
      <c r="D42" s="88">
        <v>42072</v>
      </c>
      <c r="E42" s="88">
        <v>42079</v>
      </c>
      <c r="F42">
        <v>0</v>
      </c>
      <c r="G42">
        <v>29</v>
      </c>
      <c r="H42">
        <v>2</v>
      </c>
      <c r="I42">
        <v>0</v>
      </c>
      <c r="J42">
        <v>0</v>
      </c>
      <c r="K42">
        <v>2</v>
      </c>
      <c r="L42" s="92">
        <v>0</v>
      </c>
      <c r="M42" s="303" t="s">
        <v>167</v>
      </c>
      <c r="N42" s="304"/>
      <c r="O42" s="304"/>
      <c r="P42" s="304"/>
      <c r="Q42" s="304"/>
      <c r="R42" s="304"/>
      <c r="S42" s="304"/>
      <c r="T42" s="304"/>
      <c r="U42" s="304"/>
      <c r="V42" s="305"/>
      <c r="W42" s="197" t="s">
        <v>290</v>
      </c>
      <c r="X42" s="93">
        <v>42112</v>
      </c>
      <c r="Y42" t="s">
        <v>132</v>
      </c>
    </row>
    <row r="43" spans="1:25" ht="36" customHeight="1" x14ac:dyDescent="0.35">
      <c r="A43" s="108" t="s">
        <v>2</v>
      </c>
      <c r="B43" s="109">
        <v>42079</v>
      </c>
      <c r="C43" s="108">
        <v>147890</v>
      </c>
      <c r="D43" s="88">
        <v>42082</v>
      </c>
      <c r="E43" s="88" t="s">
        <v>170</v>
      </c>
      <c r="F43">
        <v>7</v>
      </c>
      <c r="G43">
        <v>18</v>
      </c>
      <c r="H43">
        <v>1</v>
      </c>
      <c r="I43">
        <v>0</v>
      </c>
      <c r="J43">
        <v>0</v>
      </c>
      <c r="K43">
        <v>1</v>
      </c>
      <c r="L43" s="92">
        <v>0.41860465116279072</v>
      </c>
      <c r="M43" s="303" t="s">
        <v>168</v>
      </c>
      <c r="N43" s="304"/>
      <c r="O43" s="304"/>
      <c r="P43" s="304"/>
      <c r="Q43" s="304"/>
      <c r="R43" s="304"/>
      <c r="S43" s="304"/>
      <c r="T43" s="304"/>
      <c r="U43" s="304"/>
      <c r="V43" s="305"/>
      <c r="W43" s="197" t="s">
        <v>290</v>
      </c>
      <c r="X43" s="93">
        <v>42112</v>
      </c>
      <c r="Y43" t="s">
        <v>132</v>
      </c>
    </row>
    <row r="44" spans="1:25" ht="36" customHeight="1" x14ac:dyDescent="0.35">
      <c r="A44" s="108" t="s">
        <v>169</v>
      </c>
      <c r="B44" s="109">
        <v>42086</v>
      </c>
      <c r="C44" s="108">
        <v>84392</v>
      </c>
      <c r="D44" s="88">
        <v>42028</v>
      </c>
      <c r="E44" s="88">
        <v>42111</v>
      </c>
      <c r="F44">
        <v>83</v>
      </c>
      <c r="G44">
        <v>20</v>
      </c>
      <c r="H44">
        <v>4</v>
      </c>
      <c r="I44">
        <v>1</v>
      </c>
      <c r="J44">
        <v>1</v>
      </c>
      <c r="K44">
        <v>2</v>
      </c>
      <c r="L44" s="92">
        <v>0</v>
      </c>
      <c r="M44" s="303" t="s">
        <v>171</v>
      </c>
      <c r="N44" s="304"/>
      <c r="O44" s="304"/>
      <c r="P44" s="304"/>
      <c r="Q44" s="304"/>
      <c r="R44" s="304"/>
      <c r="S44" s="304"/>
      <c r="T44" s="304"/>
      <c r="U44" s="304"/>
      <c r="V44" s="305"/>
      <c r="W44" s="197" t="s">
        <v>290</v>
      </c>
      <c r="X44" s="93">
        <v>42112</v>
      </c>
      <c r="Y44" t="s">
        <v>132</v>
      </c>
    </row>
    <row r="45" spans="1:25" ht="36" customHeight="1" x14ac:dyDescent="0.35">
      <c r="A45" s="108" t="s">
        <v>172</v>
      </c>
      <c r="B45" s="109">
        <v>42107</v>
      </c>
      <c r="C45" s="108">
        <v>109485</v>
      </c>
      <c r="D45" s="88">
        <v>42066</v>
      </c>
      <c r="E45" t="s">
        <v>62</v>
      </c>
      <c r="F45">
        <v>0</v>
      </c>
      <c r="G45">
        <v>16</v>
      </c>
      <c r="H45">
        <v>5</v>
      </c>
      <c r="I45">
        <v>0</v>
      </c>
      <c r="J45">
        <v>3</v>
      </c>
      <c r="K45">
        <v>2</v>
      </c>
      <c r="L45" s="92">
        <v>0.41025641025641024</v>
      </c>
      <c r="M45" s="303" t="s">
        <v>173</v>
      </c>
      <c r="N45" s="304"/>
      <c r="O45" s="304"/>
      <c r="P45" s="304"/>
      <c r="Q45" s="304"/>
      <c r="R45" s="304"/>
      <c r="S45" s="304"/>
      <c r="T45" s="304"/>
      <c r="U45" s="304"/>
      <c r="V45" s="305"/>
      <c r="W45" s="197" t="s">
        <v>290</v>
      </c>
      <c r="X45" s="93">
        <v>42112</v>
      </c>
      <c r="Y45" t="s">
        <v>132</v>
      </c>
    </row>
    <row r="46" spans="1:25" ht="36" customHeight="1" x14ac:dyDescent="0.35">
      <c r="A46" s="108" t="s">
        <v>91</v>
      </c>
      <c r="B46" s="109">
        <v>42112</v>
      </c>
      <c r="C46" s="108" t="s">
        <v>9</v>
      </c>
      <c r="D46" t="s">
        <v>62</v>
      </c>
      <c r="E46" t="s">
        <v>62</v>
      </c>
      <c r="F46">
        <v>0</v>
      </c>
      <c r="G46">
        <v>0</v>
      </c>
      <c r="H46">
        <v>0</v>
      </c>
      <c r="I46">
        <v>0</v>
      </c>
      <c r="J46">
        <v>0</v>
      </c>
      <c r="K46">
        <v>0</v>
      </c>
      <c r="L46" s="92" t="e">
        <v>#DIV/0!</v>
      </c>
      <c r="M46" s="303" t="s">
        <v>174</v>
      </c>
      <c r="N46" s="304"/>
      <c r="O46" s="304"/>
      <c r="P46" s="304"/>
      <c r="Q46" s="304"/>
      <c r="R46" s="304"/>
      <c r="S46" s="304"/>
      <c r="T46" s="304"/>
      <c r="U46" s="304"/>
      <c r="V46" s="305"/>
      <c r="W46" s="197" t="s">
        <v>290</v>
      </c>
      <c r="X46" s="93">
        <v>42112</v>
      </c>
      <c r="Y46" t="s">
        <v>132</v>
      </c>
    </row>
    <row r="47" spans="1:25" ht="36" customHeight="1" x14ac:dyDescent="0.35">
      <c r="A47" s="108" t="s">
        <v>175</v>
      </c>
      <c r="B47" s="109">
        <v>42081</v>
      </c>
      <c r="C47" s="108">
        <v>27434</v>
      </c>
      <c r="D47" t="s">
        <v>62</v>
      </c>
      <c r="E47" t="s">
        <v>62</v>
      </c>
      <c r="F47">
        <v>83</v>
      </c>
      <c r="G47">
        <v>15</v>
      </c>
      <c r="H47">
        <v>0</v>
      </c>
      <c r="I47">
        <v>0</v>
      </c>
      <c r="J47">
        <v>0</v>
      </c>
      <c r="K47">
        <v>0</v>
      </c>
      <c r="L47" s="92">
        <v>0</v>
      </c>
      <c r="M47" s="303" t="s">
        <v>9</v>
      </c>
      <c r="N47" s="304"/>
      <c r="O47" s="304"/>
      <c r="P47" s="304"/>
      <c r="Q47" s="304"/>
      <c r="R47" s="304"/>
      <c r="S47" s="304"/>
      <c r="T47" s="304"/>
      <c r="U47" s="304"/>
      <c r="V47" s="305"/>
      <c r="W47" s="197" t="s">
        <v>290</v>
      </c>
      <c r="X47" s="93">
        <v>42112</v>
      </c>
      <c r="Y47" t="s">
        <v>132</v>
      </c>
    </row>
    <row r="48" spans="1:25" ht="36" customHeight="1" thickBot="1" x14ac:dyDescent="0.4">
      <c r="A48" s="110" t="s">
        <v>176</v>
      </c>
      <c r="B48" s="111">
        <v>42112</v>
      </c>
      <c r="C48" s="110">
        <v>9988</v>
      </c>
      <c r="D48" t="s">
        <v>62</v>
      </c>
      <c r="E48" t="s">
        <v>62</v>
      </c>
      <c r="F48" t="s">
        <v>170</v>
      </c>
      <c r="G48">
        <v>25</v>
      </c>
      <c r="H48">
        <v>0</v>
      </c>
      <c r="I48">
        <v>0</v>
      </c>
      <c r="J48">
        <v>0</v>
      </c>
      <c r="K48">
        <v>0</v>
      </c>
      <c r="L48" s="92">
        <v>0.54347826086956519</v>
      </c>
      <c r="M48" s="309" t="s">
        <v>170</v>
      </c>
      <c r="N48" s="310"/>
      <c r="O48" s="310"/>
      <c r="P48" s="310"/>
      <c r="Q48" s="310"/>
      <c r="R48" s="310"/>
      <c r="S48" s="310"/>
      <c r="T48" s="310"/>
      <c r="U48" s="310"/>
      <c r="V48" s="311"/>
      <c r="W48" s="197" t="s">
        <v>290</v>
      </c>
      <c r="X48" s="93">
        <v>42112</v>
      </c>
      <c r="Y48" t="s">
        <v>132</v>
      </c>
    </row>
    <row r="49" spans="1:25" s="68" customFormat="1" ht="36" customHeight="1" x14ac:dyDescent="0.35">
      <c r="A49" s="112" t="s">
        <v>127</v>
      </c>
      <c r="B49" s="113">
        <v>42114</v>
      </c>
      <c r="C49" s="114">
        <v>8772</v>
      </c>
      <c r="D49" s="115">
        <v>42104</v>
      </c>
      <c r="E49" s="115">
        <v>42110</v>
      </c>
      <c r="F49" s="68">
        <v>6</v>
      </c>
      <c r="G49" s="68">
        <v>29</v>
      </c>
      <c r="H49" s="68">
        <v>1</v>
      </c>
      <c r="I49" s="68">
        <v>1</v>
      </c>
      <c r="J49" s="68">
        <v>0</v>
      </c>
      <c r="K49" s="68">
        <v>0</v>
      </c>
      <c r="L49" s="69">
        <v>1</v>
      </c>
      <c r="M49" s="315" t="s">
        <v>170</v>
      </c>
      <c r="N49" s="316"/>
      <c r="O49" s="316"/>
      <c r="P49" s="316"/>
      <c r="Q49" s="316"/>
      <c r="R49" s="316"/>
      <c r="S49" s="316"/>
      <c r="T49" s="316"/>
      <c r="U49" s="316"/>
      <c r="V49" s="317"/>
      <c r="W49" s="197" t="s">
        <v>290</v>
      </c>
      <c r="X49" s="70">
        <v>42114</v>
      </c>
      <c r="Y49" s="68" t="s">
        <v>132</v>
      </c>
    </row>
    <row r="50" spans="1:25" s="73" customFormat="1" ht="36" customHeight="1" x14ac:dyDescent="0.35">
      <c r="A50" s="116" t="s">
        <v>106</v>
      </c>
      <c r="B50" s="109">
        <v>42114</v>
      </c>
      <c r="C50" s="108">
        <v>15135</v>
      </c>
      <c r="D50" s="88">
        <v>42023</v>
      </c>
      <c r="E50" s="88" t="s">
        <v>177</v>
      </c>
      <c r="F50" s="73" t="e">
        <v>#VALUE!</v>
      </c>
      <c r="G50" s="73">
        <v>26</v>
      </c>
      <c r="H50" s="73">
        <v>0</v>
      </c>
      <c r="I50" s="73">
        <v>0</v>
      </c>
      <c r="J50" s="73">
        <v>0</v>
      </c>
      <c r="K50" s="73">
        <v>0</v>
      </c>
      <c r="L50" s="74">
        <v>1</v>
      </c>
      <c r="M50" s="303" t="s">
        <v>9</v>
      </c>
      <c r="N50" s="304"/>
      <c r="O50" s="304"/>
      <c r="P50" s="304"/>
      <c r="Q50" s="304"/>
      <c r="R50" s="304"/>
      <c r="S50" s="304"/>
      <c r="T50" s="304"/>
      <c r="U50" s="304"/>
      <c r="V50" s="305"/>
      <c r="W50" s="197" t="s">
        <v>290</v>
      </c>
      <c r="X50" s="75">
        <v>42114</v>
      </c>
      <c r="Y50" s="73" t="s">
        <v>132</v>
      </c>
    </row>
    <row r="51" spans="1:25" s="80" customFormat="1" ht="36" customHeight="1" thickBot="1" x14ac:dyDescent="0.4">
      <c r="A51" s="117" t="s">
        <v>178</v>
      </c>
      <c r="B51" s="118">
        <v>42114</v>
      </c>
      <c r="C51" s="119">
        <v>160719</v>
      </c>
      <c r="D51" s="120">
        <v>42076</v>
      </c>
      <c r="E51" s="120" t="s">
        <v>177</v>
      </c>
      <c r="F51" s="80" t="e">
        <v>#VALUE!</v>
      </c>
      <c r="G51" s="80">
        <v>20</v>
      </c>
      <c r="H51" s="80">
        <v>0</v>
      </c>
      <c r="I51" s="80">
        <v>0</v>
      </c>
      <c r="J51" s="80">
        <v>0</v>
      </c>
      <c r="K51" s="80">
        <v>0</v>
      </c>
      <c r="L51" s="81">
        <v>1</v>
      </c>
      <c r="M51" s="312" t="s">
        <v>9</v>
      </c>
      <c r="N51" s="313"/>
      <c r="O51" s="313"/>
      <c r="P51" s="313"/>
      <c r="Q51" s="313"/>
      <c r="R51" s="313"/>
      <c r="S51" s="313"/>
      <c r="T51" s="313"/>
      <c r="U51" s="313"/>
      <c r="V51" s="314"/>
      <c r="W51" s="197" t="s">
        <v>290</v>
      </c>
      <c r="X51" s="82">
        <v>42114</v>
      </c>
      <c r="Y51" s="80" t="s">
        <v>132</v>
      </c>
    </row>
    <row r="52" spans="1:25" s="68" customFormat="1" ht="36" customHeight="1" x14ac:dyDescent="0.35">
      <c r="A52" s="112" t="s">
        <v>179</v>
      </c>
      <c r="B52" s="113">
        <v>42118</v>
      </c>
      <c r="C52" s="114">
        <v>56534</v>
      </c>
      <c r="D52" s="115">
        <v>42115</v>
      </c>
      <c r="E52" s="128" t="s">
        <v>103</v>
      </c>
      <c r="F52" s="68">
        <v>0</v>
      </c>
      <c r="G52" s="68">
        <v>14</v>
      </c>
      <c r="H52" s="68">
        <v>0</v>
      </c>
      <c r="I52" s="68">
        <v>0</v>
      </c>
      <c r="J52" s="68">
        <v>0</v>
      </c>
      <c r="K52" s="68">
        <v>0</v>
      </c>
      <c r="L52" s="69">
        <v>0</v>
      </c>
      <c r="M52" s="315" t="s">
        <v>180</v>
      </c>
      <c r="N52" s="316"/>
      <c r="O52" s="316"/>
      <c r="P52" s="316"/>
      <c r="Q52" s="316"/>
      <c r="R52" s="316"/>
      <c r="S52" s="316"/>
      <c r="T52" s="316"/>
      <c r="U52" s="316"/>
      <c r="V52" s="317"/>
      <c r="W52" s="197" t="s">
        <v>290</v>
      </c>
      <c r="X52" s="70">
        <v>42121</v>
      </c>
      <c r="Y52" s="68" t="s">
        <v>181</v>
      </c>
    </row>
    <row r="53" spans="1:25" s="73" customFormat="1" ht="36" customHeight="1" x14ac:dyDescent="0.35">
      <c r="A53" s="116" t="s">
        <v>179</v>
      </c>
      <c r="B53" s="109">
        <v>42118</v>
      </c>
      <c r="C53" s="108">
        <v>56534</v>
      </c>
      <c r="D53" s="73" t="s">
        <v>103</v>
      </c>
      <c r="E53" s="121" t="s">
        <v>103</v>
      </c>
      <c r="F53" s="73">
        <v>-42115</v>
      </c>
      <c r="G53" s="73">
        <v>14</v>
      </c>
      <c r="H53" s="73">
        <v>0</v>
      </c>
      <c r="I53" s="73">
        <v>0</v>
      </c>
      <c r="J53" s="73">
        <v>0</v>
      </c>
      <c r="K53" s="73">
        <v>0</v>
      </c>
      <c r="L53" s="74">
        <v>0</v>
      </c>
      <c r="M53" s="303" t="s">
        <v>180</v>
      </c>
      <c r="N53" s="304"/>
      <c r="O53" s="304"/>
      <c r="P53" s="304"/>
      <c r="Q53" s="304"/>
      <c r="R53" s="304"/>
      <c r="S53" s="304"/>
      <c r="T53" s="304"/>
      <c r="U53" s="304"/>
      <c r="V53" s="305"/>
      <c r="W53" s="197" t="s">
        <v>290</v>
      </c>
      <c r="X53" s="75">
        <v>42121</v>
      </c>
      <c r="Y53" s="73" t="s">
        <v>181</v>
      </c>
    </row>
    <row r="54" spans="1:25" s="73" customFormat="1" ht="36" customHeight="1" x14ac:dyDescent="0.35">
      <c r="A54" s="116" t="s">
        <v>169</v>
      </c>
      <c r="B54" s="109">
        <v>42118</v>
      </c>
      <c r="C54" s="108">
        <v>35068</v>
      </c>
      <c r="D54" s="73" t="s">
        <v>103</v>
      </c>
      <c r="E54" s="121" t="s">
        <v>103</v>
      </c>
      <c r="F54" s="73">
        <v>0</v>
      </c>
      <c r="G54" s="73">
        <v>12</v>
      </c>
      <c r="H54" s="73">
        <v>0</v>
      </c>
      <c r="I54" s="73">
        <v>0</v>
      </c>
      <c r="J54" s="73">
        <v>0</v>
      </c>
      <c r="K54" s="73">
        <v>0</v>
      </c>
      <c r="L54" s="74">
        <v>0</v>
      </c>
      <c r="M54" s="303" t="s">
        <v>182</v>
      </c>
      <c r="N54" s="304"/>
      <c r="O54" s="304"/>
      <c r="P54" s="304"/>
      <c r="Q54" s="304"/>
      <c r="R54" s="304"/>
      <c r="S54" s="304"/>
      <c r="T54" s="304"/>
      <c r="U54" s="304"/>
      <c r="V54" s="305"/>
      <c r="W54" s="197" t="s">
        <v>290</v>
      </c>
      <c r="X54" s="75">
        <v>42121</v>
      </c>
      <c r="Y54" s="73" t="s">
        <v>181</v>
      </c>
    </row>
    <row r="55" spans="1:25" s="73" customFormat="1" ht="36" customHeight="1" x14ac:dyDescent="0.35">
      <c r="A55" s="116" t="s">
        <v>106</v>
      </c>
      <c r="B55" s="109">
        <v>42118</v>
      </c>
      <c r="C55" s="108">
        <v>68404</v>
      </c>
      <c r="D55" s="73" t="s">
        <v>103</v>
      </c>
      <c r="E55" s="121" t="s">
        <v>103</v>
      </c>
      <c r="F55" s="73">
        <v>0</v>
      </c>
      <c r="G55" s="73">
        <v>19</v>
      </c>
      <c r="H55" s="73">
        <v>0</v>
      </c>
      <c r="I55" s="73">
        <v>0</v>
      </c>
      <c r="J55" s="73">
        <v>0</v>
      </c>
      <c r="K55" s="73">
        <v>0</v>
      </c>
      <c r="L55" s="74">
        <v>0</v>
      </c>
      <c r="M55" s="303" t="s">
        <v>183</v>
      </c>
      <c r="N55" s="304"/>
      <c r="O55" s="304"/>
      <c r="P55" s="304"/>
      <c r="Q55" s="304"/>
      <c r="R55" s="304"/>
      <c r="S55" s="304"/>
      <c r="T55" s="304"/>
      <c r="U55" s="304"/>
      <c r="V55" s="305"/>
      <c r="W55" s="197" t="s">
        <v>290</v>
      </c>
      <c r="X55" s="75">
        <v>42121</v>
      </c>
      <c r="Y55" s="73" t="s">
        <v>181</v>
      </c>
    </row>
    <row r="56" spans="1:25" s="73" customFormat="1" ht="36" customHeight="1" x14ac:dyDescent="0.35">
      <c r="A56" s="116" t="s">
        <v>2</v>
      </c>
      <c r="B56" s="109">
        <v>42118</v>
      </c>
      <c r="C56" s="108">
        <v>24446</v>
      </c>
      <c r="D56" s="73" t="s">
        <v>103</v>
      </c>
      <c r="E56" s="121" t="s">
        <v>103</v>
      </c>
      <c r="F56" s="73">
        <v>0</v>
      </c>
      <c r="G56" s="73">
        <v>16</v>
      </c>
      <c r="H56" s="73">
        <v>2</v>
      </c>
      <c r="I56" s="73">
        <v>0</v>
      </c>
      <c r="J56" s="73">
        <v>2</v>
      </c>
      <c r="K56" s="73">
        <v>0</v>
      </c>
      <c r="L56" s="74">
        <v>1</v>
      </c>
      <c r="M56" s="303" t="s">
        <v>184</v>
      </c>
      <c r="N56" s="304"/>
      <c r="O56" s="304"/>
      <c r="P56" s="304"/>
      <c r="Q56" s="304"/>
      <c r="R56" s="304"/>
      <c r="S56" s="304"/>
      <c r="T56" s="304"/>
      <c r="U56" s="304"/>
      <c r="V56" s="305"/>
      <c r="W56" s="197" t="s">
        <v>290</v>
      </c>
      <c r="X56" s="75">
        <v>42121</v>
      </c>
      <c r="Y56" s="73" t="s">
        <v>181</v>
      </c>
    </row>
    <row r="57" spans="1:25" s="73" customFormat="1" ht="36" customHeight="1" x14ac:dyDescent="0.35">
      <c r="A57" s="116" t="s">
        <v>157</v>
      </c>
      <c r="B57" s="109">
        <v>41753</v>
      </c>
      <c r="C57" s="108">
        <v>29620</v>
      </c>
      <c r="D57" s="73" t="s">
        <v>103</v>
      </c>
      <c r="E57" s="121" t="s">
        <v>103</v>
      </c>
      <c r="F57" s="73">
        <v>0</v>
      </c>
      <c r="G57" s="73">
        <v>28</v>
      </c>
      <c r="H57" s="73">
        <v>1</v>
      </c>
      <c r="I57" s="73">
        <v>0</v>
      </c>
      <c r="J57" s="73">
        <v>1</v>
      </c>
      <c r="K57" s="73">
        <v>0</v>
      </c>
      <c r="L57" s="74">
        <v>1</v>
      </c>
      <c r="M57" s="303" t="s">
        <v>185</v>
      </c>
      <c r="N57" s="304"/>
      <c r="O57" s="304"/>
      <c r="P57" s="304"/>
      <c r="Q57" s="304"/>
      <c r="R57" s="304"/>
      <c r="S57" s="304"/>
      <c r="T57" s="304"/>
      <c r="U57" s="304"/>
      <c r="V57" s="305"/>
      <c r="W57" s="197" t="s">
        <v>290</v>
      </c>
      <c r="X57" s="75">
        <v>42121</v>
      </c>
      <c r="Y57" s="73" t="s">
        <v>181</v>
      </c>
    </row>
    <row r="58" spans="1:25" s="73" customFormat="1" ht="36" customHeight="1" x14ac:dyDescent="0.35">
      <c r="A58" s="116" t="s">
        <v>190</v>
      </c>
      <c r="B58" s="109" t="s">
        <v>191</v>
      </c>
      <c r="C58" s="6">
        <v>1198265</v>
      </c>
      <c r="D58" s="88">
        <v>41997</v>
      </c>
      <c r="E58" s="88">
        <v>42114</v>
      </c>
      <c r="F58" s="73">
        <v>0</v>
      </c>
      <c r="G58" s="73">
        <v>27</v>
      </c>
      <c r="H58" s="73">
        <v>3</v>
      </c>
      <c r="I58" s="73">
        <v>0</v>
      </c>
      <c r="J58" s="73">
        <v>3</v>
      </c>
      <c r="K58" s="73">
        <v>0</v>
      </c>
      <c r="L58" s="74">
        <v>1</v>
      </c>
      <c r="M58" s="303" t="s">
        <v>192</v>
      </c>
      <c r="N58" s="304"/>
      <c r="O58" s="304"/>
      <c r="P58" s="304"/>
      <c r="Q58" s="304"/>
      <c r="R58" s="304"/>
      <c r="S58" s="304"/>
      <c r="T58" s="304"/>
      <c r="U58" s="304"/>
      <c r="V58" s="305"/>
      <c r="W58" s="197" t="s">
        <v>290</v>
      </c>
      <c r="X58" s="75">
        <v>42124</v>
      </c>
      <c r="Y58" s="73" t="s">
        <v>193</v>
      </c>
    </row>
    <row r="59" spans="1:25" s="73" customFormat="1" ht="36" customHeight="1" x14ac:dyDescent="0.35">
      <c r="A59" s="116" t="s">
        <v>190</v>
      </c>
      <c r="B59" s="109" t="s">
        <v>194</v>
      </c>
      <c r="C59" s="6">
        <v>1198265</v>
      </c>
      <c r="D59" s="88">
        <v>41997</v>
      </c>
      <c r="E59" s="88" t="s">
        <v>196</v>
      </c>
      <c r="F59" s="73">
        <v>117</v>
      </c>
      <c r="G59" s="73">
        <v>20</v>
      </c>
      <c r="H59" s="73">
        <v>0</v>
      </c>
      <c r="I59" s="73">
        <v>0</v>
      </c>
      <c r="J59" s="73">
        <v>0</v>
      </c>
      <c r="K59" s="73">
        <v>0</v>
      </c>
      <c r="L59" s="74">
        <v>1</v>
      </c>
      <c r="M59" s="303" t="s">
        <v>195</v>
      </c>
      <c r="N59" s="304"/>
      <c r="O59" s="304"/>
      <c r="P59" s="304"/>
      <c r="Q59" s="304"/>
      <c r="R59" s="304"/>
      <c r="S59" s="304"/>
      <c r="T59" s="304"/>
      <c r="U59" s="304"/>
      <c r="V59" s="305"/>
      <c r="W59" s="197" t="s">
        <v>290</v>
      </c>
      <c r="X59" s="75">
        <v>42124</v>
      </c>
      <c r="Y59" s="73" t="s">
        <v>193</v>
      </c>
    </row>
    <row r="60" spans="1:25" s="73" customFormat="1" ht="36" customHeight="1" x14ac:dyDescent="0.35">
      <c r="A60" s="116" t="s">
        <v>190</v>
      </c>
      <c r="B60" s="109" t="s">
        <v>194</v>
      </c>
      <c r="C60" s="123">
        <v>4141458</v>
      </c>
      <c r="D60" s="124">
        <v>42069</v>
      </c>
      <c r="E60" s="88" t="s">
        <v>196</v>
      </c>
      <c r="F60" s="73" t="e">
        <v>#VALUE!</v>
      </c>
      <c r="G60" s="73">
        <v>38</v>
      </c>
      <c r="H60" s="73">
        <v>3</v>
      </c>
      <c r="I60" s="73">
        <v>0</v>
      </c>
      <c r="J60" s="73">
        <v>3</v>
      </c>
      <c r="K60" s="73">
        <v>0</v>
      </c>
      <c r="L60" s="74">
        <v>1</v>
      </c>
      <c r="M60" s="303" t="s">
        <v>197</v>
      </c>
      <c r="N60" s="304"/>
      <c r="O60" s="304"/>
      <c r="P60" s="304"/>
      <c r="Q60" s="304"/>
      <c r="R60" s="304"/>
      <c r="S60" s="304"/>
      <c r="T60" s="304"/>
      <c r="U60" s="304"/>
      <c r="V60" s="305"/>
      <c r="W60" s="197" t="s">
        <v>290</v>
      </c>
      <c r="X60" s="75">
        <v>42124</v>
      </c>
      <c r="Y60" s="73" t="s">
        <v>193</v>
      </c>
    </row>
    <row r="61" spans="1:25" s="73" customFormat="1" ht="36" customHeight="1" x14ac:dyDescent="0.35">
      <c r="A61" s="116" t="s">
        <v>123</v>
      </c>
      <c r="B61" s="109" t="s">
        <v>194</v>
      </c>
      <c r="C61" s="125">
        <v>6025062</v>
      </c>
      <c r="D61" s="124">
        <v>42074</v>
      </c>
      <c r="E61" s="88" t="s">
        <v>196</v>
      </c>
      <c r="F61" s="73" t="e">
        <v>#VALUE!</v>
      </c>
      <c r="G61" s="73">
        <v>37</v>
      </c>
      <c r="H61" s="73">
        <v>3</v>
      </c>
      <c r="I61" s="73">
        <v>0</v>
      </c>
      <c r="J61" s="73">
        <v>3</v>
      </c>
      <c r="K61" s="73">
        <v>0</v>
      </c>
      <c r="L61" s="74">
        <v>1</v>
      </c>
      <c r="M61" s="303" t="s">
        <v>198</v>
      </c>
      <c r="N61" s="304"/>
      <c r="O61" s="304"/>
      <c r="P61" s="304"/>
      <c r="Q61" s="304"/>
      <c r="R61" s="304"/>
      <c r="S61" s="304"/>
      <c r="T61" s="304"/>
      <c r="U61" s="304"/>
      <c r="V61" s="305"/>
      <c r="W61" s="197" t="s">
        <v>290</v>
      </c>
      <c r="X61" s="75">
        <v>42124</v>
      </c>
      <c r="Y61" s="73" t="s">
        <v>193</v>
      </c>
    </row>
    <row r="62" spans="1:25" s="73" customFormat="1" ht="36" customHeight="1" x14ac:dyDescent="0.35">
      <c r="A62" s="116" t="s">
        <v>123</v>
      </c>
      <c r="B62" s="109" t="s">
        <v>194</v>
      </c>
      <c r="C62" s="125">
        <v>6065922</v>
      </c>
      <c r="D62" s="126">
        <v>41984</v>
      </c>
      <c r="E62" s="88" t="s">
        <v>196</v>
      </c>
      <c r="F62" s="73" t="e">
        <v>#VALUE!</v>
      </c>
      <c r="G62" s="73">
        <v>34</v>
      </c>
      <c r="H62" s="73">
        <v>5</v>
      </c>
      <c r="I62" s="73">
        <v>0</v>
      </c>
      <c r="J62" s="73">
        <v>3</v>
      </c>
      <c r="K62" s="73">
        <v>2</v>
      </c>
      <c r="L62" s="74">
        <v>0.94444444444444442</v>
      </c>
      <c r="M62" s="303" t="s">
        <v>199</v>
      </c>
      <c r="N62" s="304"/>
      <c r="O62" s="304"/>
      <c r="P62" s="304"/>
      <c r="Q62" s="304"/>
      <c r="R62" s="304"/>
      <c r="S62" s="304"/>
      <c r="T62" s="304"/>
      <c r="U62" s="304"/>
      <c r="V62" s="305"/>
      <c r="W62" s="197" t="s">
        <v>290</v>
      </c>
      <c r="X62" s="75">
        <v>42124</v>
      </c>
      <c r="Y62" s="73" t="s">
        <v>193</v>
      </c>
    </row>
    <row r="63" spans="1:25" s="80" customFormat="1" ht="36" customHeight="1" thickBot="1" x14ac:dyDescent="0.4">
      <c r="A63" s="117" t="s">
        <v>154</v>
      </c>
      <c r="B63" s="118" t="s">
        <v>194</v>
      </c>
      <c r="C63" s="129">
        <v>5579219</v>
      </c>
      <c r="D63" s="80" t="s">
        <v>103</v>
      </c>
      <c r="E63" s="130" t="s">
        <v>103</v>
      </c>
      <c r="F63" s="80" t="e">
        <v>#VALUE!</v>
      </c>
      <c r="G63" s="80">
        <v>30</v>
      </c>
      <c r="H63" s="80">
        <v>3</v>
      </c>
      <c r="I63" s="80">
        <v>0</v>
      </c>
      <c r="J63" s="80">
        <v>3</v>
      </c>
      <c r="K63" s="80">
        <v>0</v>
      </c>
      <c r="L63" s="81">
        <v>1</v>
      </c>
      <c r="M63" s="312" t="s">
        <v>200</v>
      </c>
      <c r="N63" s="313"/>
      <c r="O63" s="313"/>
      <c r="P63" s="313"/>
      <c r="Q63" s="313"/>
      <c r="R63" s="313"/>
      <c r="S63" s="313"/>
      <c r="T63" s="313"/>
      <c r="U63" s="313"/>
      <c r="V63" s="314"/>
      <c r="W63" s="197" t="s">
        <v>290</v>
      </c>
      <c r="X63" s="82">
        <v>42124</v>
      </c>
      <c r="Y63" s="80" t="s">
        <v>193</v>
      </c>
    </row>
    <row r="64" spans="1:25" s="68" customFormat="1" ht="36" customHeight="1" x14ac:dyDescent="0.35">
      <c r="A64" s="112" t="s">
        <v>202</v>
      </c>
      <c r="B64" s="113" t="s">
        <v>203</v>
      </c>
      <c r="C64" s="131">
        <v>13651</v>
      </c>
      <c r="D64" s="132">
        <v>42043</v>
      </c>
      <c r="E64" s="115" t="s">
        <v>196</v>
      </c>
      <c r="F64" s="68" t="s">
        <v>103</v>
      </c>
      <c r="G64" s="68">
        <v>32</v>
      </c>
      <c r="H64" s="68">
        <v>0</v>
      </c>
      <c r="I64" s="68">
        <v>0</v>
      </c>
      <c r="J64" s="68">
        <v>0</v>
      </c>
      <c r="K64" s="68">
        <v>0</v>
      </c>
      <c r="L64" s="69">
        <v>1</v>
      </c>
      <c r="M64" s="315" t="s">
        <v>204</v>
      </c>
      <c r="N64" s="316"/>
      <c r="O64" s="316"/>
      <c r="P64" s="316"/>
      <c r="Q64" s="316"/>
      <c r="R64" s="316"/>
      <c r="S64" s="316"/>
      <c r="T64" s="316"/>
      <c r="U64" s="316"/>
      <c r="V64" s="317"/>
      <c r="W64" s="197" t="s">
        <v>290</v>
      </c>
      <c r="X64" s="70">
        <v>42131</v>
      </c>
      <c r="Y64" s="68" t="s">
        <v>205</v>
      </c>
    </row>
    <row r="65" spans="1:25" s="73" customFormat="1" ht="36" customHeight="1" x14ac:dyDescent="0.35">
      <c r="A65" s="116" t="s">
        <v>202</v>
      </c>
      <c r="B65" s="109" t="s">
        <v>203</v>
      </c>
      <c r="C65" s="127">
        <v>13651</v>
      </c>
      <c r="D65" s="124">
        <v>42043</v>
      </c>
      <c r="E65" s="88" t="s">
        <v>196</v>
      </c>
      <c r="F65" s="73" t="s">
        <v>103</v>
      </c>
      <c r="G65" s="73">
        <v>32</v>
      </c>
      <c r="H65" s="73">
        <v>0</v>
      </c>
      <c r="I65" s="73">
        <v>0</v>
      </c>
      <c r="J65" s="73">
        <v>0</v>
      </c>
      <c r="K65" s="73">
        <v>0</v>
      </c>
      <c r="L65" s="74">
        <v>1</v>
      </c>
      <c r="M65" s="303" t="s">
        <v>204</v>
      </c>
      <c r="N65" s="304"/>
      <c r="O65" s="304"/>
      <c r="P65" s="304"/>
      <c r="Q65" s="304"/>
      <c r="R65" s="304"/>
      <c r="S65" s="304"/>
      <c r="T65" s="304"/>
      <c r="U65" s="304"/>
      <c r="V65" s="305"/>
      <c r="W65" s="197" t="s">
        <v>290</v>
      </c>
      <c r="X65" s="75">
        <v>42131</v>
      </c>
      <c r="Y65" s="73" t="s">
        <v>205</v>
      </c>
    </row>
    <row r="66" spans="1:25" s="73" customFormat="1" ht="36" customHeight="1" x14ac:dyDescent="0.35">
      <c r="A66" s="116" t="s">
        <v>154</v>
      </c>
      <c r="B66" s="109" t="s">
        <v>203</v>
      </c>
      <c r="C66" s="127">
        <v>6830</v>
      </c>
      <c r="D66" s="124">
        <v>42017</v>
      </c>
      <c r="E66" s="88" t="s">
        <v>206</v>
      </c>
      <c r="F66" s="73" t="s">
        <v>103</v>
      </c>
      <c r="G66" s="73">
        <v>24</v>
      </c>
      <c r="H66" s="73">
        <v>3</v>
      </c>
      <c r="I66" s="73">
        <v>0</v>
      </c>
      <c r="J66" s="73">
        <v>0</v>
      </c>
      <c r="K66" s="73">
        <v>3</v>
      </c>
      <c r="L66" s="74">
        <v>0</v>
      </c>
      <c r="M66" s="303" t="s">
        <v>207</v>
      </c>
      <c r="N66" s="304"/>
      <c r="O66" s="304"/>
      <c r="P66" s="304"/>
      <c r="Q66" s="304"/>
      <c r="R66" s="304"/>
      <c r="S66" s="304"/>
      <c r="T66" s="304"/>
      <c r="U66" s="304"/>
      <c r="V66" s="305"/>
      <c r="W66" s="197" t="s">
        <v>290</v>
      </c>
      <c r="X66" s="75">
        <v>42131</v>
      </c>
      <c r="Y66" s="73" t="s">
        <v>125</v>
      </c>
    </row>
    <row r="67" spans="1:25" s="73" customFormat="1" ht="36" customHeight="1" x14ac:dyDescent="0.35">
      <c r="A67" s="116" t="s">
        <v>154</v>
      </c>
      <c r="B67" s="109" t="s">
        <v>203</v>
      </c>
      <c r="C67" s="127">
        <v>6830</v>
      </c>
      <c r="D67" s="124">
        <v>42075</v>
      </c>
      <c r="E67" s="88" t="s">
        <v>196</v>
      </c>
      <c r="F67" s="73" t="s">
        <v>103</v>
      </c>
      <c r="G67" s="73">
        <v>27</v>
      </c>
      <c r="H67" s="73">
        <v>1</v>
      </c>
      <c r="I67" s="73">
        <v>0</v>
      </c>
      <c r="J67" s="73">
        <v>0</v>
      </c>
      <c r="K67" s="73">
        <v>1</v>
      </c>
      <c r="L67" s="74">
        <v>0</v>
      </c>
      <c r="M67" s="303" t="s">
        <v>208</v>
      </c>
      <c r="N67" s="304"/>
      <c r="O67" s="304"/>
      <c r="P67" s="304"/>
      <c r="Q67" s="304"/>
      <c r="R67" s="304"/>
      <c r="S67" s="304"/>
      <c r="T67" s="304"/>
      <c r="U67" s="304"/>
      <c r="V67" s="305"/>
      <c r="W67" s="197" t="s">
        <v>290</v>
      </c>
      <c r="X67" s="75">
        <v>42131</v>
      </c>
      <c r="Y67" s="73" t="s">
        <v>125</v>
      </c>
    </row>
    <row r="68" spans="1:25" s="73" customFormat="1" ht="36" customHeight="1" x14ac:dyDescent="0.35">
      <c r="A68" s="116" t="s">
        <v>154</v>
      </c>
      <c r="B68" s="109" t="s">
        <v>203</v>
      </c>
      <c r="C68" s="127">
        <v>9971</v>
      </c>
      <c r="D68" s="124">
        <v>42110</v>
      </c>
      <c r="E68" s="88" t="s">
        <v>196</v>
      </c>
      <c r="F68" s="73" t="s">
        <v>103</v>
      </c>
      <c r="G68" s="73">
        <v>29</v>
      </c>
      <c r="H68" s="73">
        <v>1</v>
      </c>
      <c r="I68" s="73">
        <v>0</v>
      </c>
      <c r="J68" s="73">
        <v>0</v>
      </c>
      <c r="K68" s="73">
        <v>1</v>
      </c>
      <c r="L68" s="74">
        <v>0.96666666666666667</v>
      </c>
      <c r="M68" s="303" t="s">
        <v>209</v>
      </c>
      <c r="N68" s="304"/>
      <c r="O68" s="304"/>
      <c r="P68" s="304"/>
      <c r="Q68" s="304"/>
      <c r="R68" s="304"/>
      <c r="S68" s="304"/>
      <c r="T68" s="304"/>
      <c r="U68" s="304"/>
      <c r="V68" s="305"/>
      <c r="W68" s="197" t="s">
        <v>290</v>
      </c>
      <c r="X68" s="75">
        <v>42131</v>
      </c>
      <c r="Y68" s="73" t="s">
        <v>193</v>
      </c>
    </row>
    <row r="69" spans="1:25" s="73" customFormat="1" ht="36" customHeight="1" x14ac:dyDescent="0.35">
      <c r="A69" s="116" t="s">
        <v>210</v>
      </c>
      <c r="B69" s="109">
        <v>42132</v>
      </c>
      <c r="C69" s="127">
        <v>25289</v>
      </c>
      <c r="D69" s="124">
        <v>42088</v>
      </c>
      <c r="E69" s="88" t="s">
        <v>177</v>
      </c>
      <c r="F69" s="73" t="s">
        <v>103</v>
      </c>
      <c r="G69" s="73">
        <v>20</v>
      </c>
      <c r="H69" s="73">
        <v>4</v>
      </c>
      <c r="I69" s="73">
        <v>0</v>
      </c>
      <c r="J69" s="73">
        <v>0</v>
      </c>
      <c r="K69" s="73">
        <v>4</v>
      </c>
      <c r="L69" s="74">
        <v>0</v>
      </c>
      <c r="M69" s="303" t="s">
        <v>211</v>
      </c>
      <c r="N69" s="304"/>
      <c r="O69" s="304"/>
      <c r="P69" s="304"/>
      <c r="Q69" s="304"/>
      <c r="R69" s="304"/>
      <c r="S69" s="304"/>
      <c r="T69" s="304"/>
      <c r="U69" s="304"/>
      <c r="V69" s="305"/>
      <c r="W69" s="197" t="s">
        <v>290</v>
      </c>
      <c r="X69" s="75">
        <v>42132</v>
      </c>
      <c r="Y69" s="73" t="s">
        <v>132</v>
      </c>
    </row>
    <row r="70" spans="1:25" s="73" customFormat="1" ht="36" customHeight="1" x14ac:dyDescent="0.35">
      <c r="A70" s="116" t="s">
        <v>157</v>
      </c>
      <c r="B70" s="109">
        <v>42132</v>
      </c>
      <c r="C70" s="127">
        <v>33611</v>
      </c>
      <c r="D70" s="124">
        <v>42122</v>
      </c>
      <c r="E70" s="88" t="s">
        <v>212</v>
      </c>
      <c r="F70" s="73" t="s">
        <v>103</v>
      </c>
      <c r="G70" s="73">
        <v>17</v>
      </c>
      <c r="H70" s="73">
        <v>1</v>
      </c>
      <c r="I70" s="73">
        <v>0</v>
      </c>
      <c r="J70" s="73">
        <v>0</v>
      </c>
      <c r="K70" s="73">
        <v>1</v>
      </c>
      <c r="L70" s="74">
        <v>0.94444444444444442</v>
      </c>
      <c r="M70" s="303" t="s">
        <v>213</v>
      </c>
      <c r="N70" s="304"/>
      <c r="O70" s="304"/>
      <c r="P70" s="304"/>
      <c r="Q70" s="304"/>
      <c r="R70" s="304"/>
      <c r="S70" s="304"/>
      <c r="T70" s="304"/>
      <c r="U70" s="304"/>
      <c r="V70" s="305"/>
      <c r="W70" s="197" t="s">
        <v>290</v>
      </c>
      <c r="X70" s="75">
        <v>42132</v>
      </c>
      <c r="Y70" s="73" t="s">
        <v>132</v>
      </c>
    </row>
    <row r="71" spans="1:25" s="73" customFormat="1" ht="36" customHeight="1" x14ac:dyDescent="0.35">
      <c r="A71" s="116" t="s">
        <v>2</v>
      </c>
      <c r="B71" s="109">
        <v>42133</v>
      </c>
      <c r="C71" s="127">
        <v>199536</v>
      </c>
      <c r="D71" s="124">
        <v>42077</v>
      </c>
      <c r="E71" s="88">
        <v>42082</v>
      </c>
      <c r="F71" s="73" t="s">
        <v>103</v>
      </c>
      <c r="G71" s="73">
        <v>15</v>
      </c>
      <c r="H71" s="73">
        <v>3</v>
      </c>
      <c r="I71" s="73">
        <v>0</v>
      </c>
      <c r="J71" s="73">
        <v>0</v>
      </c>
      <c r="K71" s="73">
        <v>3</v>
      </c>
      <c r="L71" s="74">
        <v>0</v>
      </c>
      <c r="M71" s="303" t="s">
        <v>214</v>
      </c>
      <c r="N71" s="304"/>
      <c r="O71" s="304"/>
      <c r="P71" s="304"/>
      <c r="Q71" s="304"/>
      <c r="R71" s="304"/>
      <c r="S71" s="304"/>
      <c r="T71" s="304"/>
      <c r="U71" s="304"/>
      <c r="V71" s="305"/>
      <c r="W71" s="197" t="s">
        <v>290</v>
      </c>
      <c r="X71" s="75">
        <v>42132</v>
      </c>
      <c r="Y71" s="73" t="s">
        <v>132</v>
      </c>
    </row>
    <row r="72" spans="1:25" s="73" customFormat="1" ht="36" customHeight="1" x14ac:dyDescent="0.35">
      <c r="A72" s="116" t="s">
        <v>215</v>
      </c>
      <c r="B72" s="109">
        <v>42132</v>
      </c>
      <c r="C72" s="127">
        <v>106623</v>
      </c>
      <c r="D72" s="124">
        <v>42054</v>
      </c>
      <c r="E72" s="88">
        <v>42081</v>
      </c>
      <c r="F72" s="73" t="s">
        <v>103</v>
      </c>
      <c r="G72" s="73">
        <v>14</v>
      </c>
      <c r="H72" s="73">
        <v>7</v>
      </c>
      <c r="I72" s="73">
        <v>0</v>
      </c>
      <c r="J72" s="73">
        <v>0</v>
      </c>
      <c r="K72" s="73">
        <v>7</v>
      </c>
      <c r="L72" s="74">
        <v>0.66666666666666663</v>
      </c>
      <c r="M72" s="303" t="s">
        <v>216</v>
      </c>
      <c r="N72" s="304"/>
      <c r="O72" s="304"/>
      <c r="P72" s="304"/>
      <c r="Q72" s="304"/>
      <c r="R72" s="304"/>
      <c r="S72" s="304"/>
      <c r="T72" s="304"/>
      <c r="U72" s="304"/>
      <c r="V72" s="305"/>
      <c r="W72" s="197" t="s">
        <v>290</v>
      </c>
      <c r="X72" s="75">
        <v>42132</v>
      </c>
      <c r="Y72" s="73" t="s">
        <v>132</v>
      </c>
    </row>
    <row r="73" spans="1:25" s="73" customFormat="1" ht="36" customHeight="1" x14ac:dyDescent="0.35">
      <c r="A73" s="116" t="s">
        <v>166</v>
      </c>
      <c r="B73" s="109">
        <v>42132</v>
      </c>
      <c r="C73" s="127">
        <v>11038</v>
      </c>
      <c r="D73" s="124">
        <v>42038</v>
      </c>
      <c r="E73" s="88" t="s">
        <v>177</v>
      </c>
      <c r="F73" s="73" t="s">
        <v>103</v>
      </c>
      <c r="G73" s="73">
        <v>15</v>
      </c>
      <c r="H73" s="73">
        <v>0</v>
      </c>
      <c r="I73" s="73">
        <v>0</v>
      </c>
      <c r="J73" s="73">
        <v>0</v>
      </c>
      <c r="K73" s="73">
        <v>0</v>
      </c>
      <c r="L73" s="74">
        <v>0</v>
      </c>
      <c r="M73" s="303" t="s">
        <v>217</v>
      </c>
      <c r="N73" s="304"/>
      <c r="O73" s="304"/>
      <c r="P73" s="304"/>
      <c r="Q73" s="304"/>
      <c r="R73" s="304"/>
      <c r="S73" s="304"/>
      <c r="T73" s="304"/>
      <c r="U73" s="304"/>
      <c r="V73" s="305"/>
      <c r="W73" s="197" t="s">
        <v>290</v>
      </c>
      <c r="X73" s="75">
        <v>42132</v>
      </c>
      <c r="Y73" s="73" t="s">
        <v>132</v>
      </c>
    </row>
    <row r="74" spans="1:25" s="73" customFormat="1" ht="36" customHeight="1" x14ac:dyDescent="0.35">
      <c r="A74" s="116" t="s">
        <v>106</v>
      </c>
      <c r="B74" s="109">
        <v>42132</v>
      </c>
      <c r="C74" s="127">
        <v>11038</v>
      </c>
      <c r="D74" s="124">
        <v>42038</v>
      </c>
      <c r="E74" s="88" t="s">
        <v>177</v>
      </c>
      <c r="F74" s="73" t="s">
        <v>103</v>
      </c>
      <c r="G74" s="73">
        <v>16</v>
      </c>
      <c r="H74" s="73">
        <v>0</v>
      </c>
      <c r="I74" s="73">
        <v>0</v>
      </c>
      <c r="J74" s="73">
        <v>0</v>
      </c>
      <c r="K74" s="73">
        <v>0</v>
      </c>
      <c r="L74" s="74">
        <v>1</v>
      </c>
      <c r="M74" s="303" t="s">
        <v>213</v>
      </c>
      <c r="N74" s="304"/>
      <c r="O74" s="304"/>
      <c r="P74" s="304"/>
      <c r="Q74" s="304"/>
      <c r="R74" s="304"/>
      <c r="S74" s="304"/>
      <c r="T74" s="304"/>
      <c r="U74" s="304"/>
      <c r="V74" s="305"/>
      <c r="W74" s="197" t="s">
        <v>290</v>
      </c>
      <c r="X74" s="75">
        <v>42132</v>
      </c>
      <c r="Y74" s="73" t="s">
        <v>132</v>
      </c>
    </row>
    <row r="75" spans="1:25" s="73" customFormat="1" ht="36" customHeight="1" x14ac:dyDescent="0.35">
      <c r="A75" s="116" t="s">
        <v>166</v>
      </c>
      <c r="B75" s="109">
        <v>42133</v>
      </c>
      <c r="C75" s="127">
        <v>7885</v>
      </c>
      <c r="D75" s="124">
        <v>42082</v>
      </c>
      <c r="E75" s="88" t="s">
        <v>177</v>
      </c>
      <c r="F75" s="73" t="s">
        <v>103</v>
      </c>
      <c r="G75" s="73">
        <v>0</v>
      </c>
      <c r="H75" s="73">
        <v>0</v>
      </c>
      <c r="I75" s="73">
        <v>0</v>
      </c>
      <c r="J75" s="73">
        <v>0</v>
      </c>
      <c r="K75" s="73">
        <v>0</v>
      </c>
      <c r="L75" s="74">
        <v>0</v>
      </c>
      <c r="M75" s="303" t="s">
        <v>218</v>
      </c>
      <c r="N75" s="304"/>
      <c r="O75" s="304"/>
      <c r="P75" s="304"/>
      <c r="Q75" s="304"/>
      <c r="R75" s="304"/>
      <c r="S75" s="304"/>
      <c r="T75" s="304"/>
      <c r="U75" s="304"/>
      <c r="V75" s="305"/>
      <c r="W75" s="197" t="s">
        <v>290</v>
      </c>
      <c r="X75" s="75">
        <v>42133</v>
      </c>
      <c r="Y75" s="73" t="s">
        <v>132</v>
      </c>
    </row>
    <row r="76" spans="1:25" s="73" customFormat="1" ht="36" customHeight="1" x14ac:dyDescent="0.35">
      <c r="A76" s="116" t="s">
        <v>172</v>
      </c>
      <c r="B76" s="109">
        <v>42133</v>
      </c>
      <c r="C76" s="127">
        <v>10867</v>
      </c>
      <c r="D76" s="124">
        <v>42053</v>
      </c>
      <c r="E76" s="88" t="s">
        <v>177</v>
      </c>
      <c r="F76" s="73" t="s">
        <v>103</v>
      </c>
      <c r="G76" s="73">
        <v>35</v>
      </c>
      <c r="H76" s="73">
        <v>3</v>
      </c>
      <c r="I76" s="73">
        <v>0</v>
      </c>
      <c r="J76" s="73">
        <v>0</v>
      </c>
      <c r="K76" s="73">
        <v>3</v>
      </c>
      <c r="L76" s="74">
        <v>0.92105263157894735</v>
      </c>
      <c r="M76" s="303" t="s">
        <v>219</v>
      </c>
      <c r="N76" s="304"/>
      <c r="O76" s="304"/>
      <c r="P76" s="304"/>
      <c r="Q76" s="304"/>
      <c r="R76" s="304"/>
      <c r="S76" s="304"/>
      <c r="T76" s="304"/>
      <c r="U76" s="304"/>
      <c r="V76" s="305"/>
      <c r="W76" s="197" t="s">
        <v>290</v>
      </c>
      <c r="X76" s="75">
        <v>42133</v>
      </c>
      <c r="Y76" s="73" t="s">
        <v>132</v>
      </c>
    </row>
    <row r="77" spans="1:25" s="73" customFormat="1" ht="36" customHeight="1" x14ac:dyDescent="0.35">
      <c r="A77" s="116" t="s">
        <v>172</v>
      </c>
      <c r="B77" s="109">
        <v>42133</v>
      </c>
      <c r="C77" s="127">
        <v>10867</v>
      </c>
      <c r="D77" s="124">
        <v>42053</v>
      </c>
      <c r="E77" s="88" t="s">
        <v>177</v>
      </c>
      <c r="F77" s="73" t="s">
        <v>103</v>
      </c>
      <c r="G77" s="73">
        <v>14</v>
      </c>
      <c r="H77" s="73">
        <v>3</v>
      </c>
      <c r="I77" s="73">
        <v>0</v>
      </c>
      <c r="J77" s="73">
        <v>0</v>
      </c>
      <c r="K77" s="73">
        <v>3</v>
      </c>
      <c r="L77" s="74">
        <v>0</v>
      </c>
      <c r="M77" s="303" t="s">
        <v>9</v>
      </c>
      <c r="N77" s="304"/>
      <c r="O77" s="304"/>
      <c r="P77" s="304"/>
      <c r="Q77" s="304"/>
      <c r="R77" s="304"/>
      <c r="S77" s="304"/>
      <c r="T77" s="304"/>
      <c r="U77" s="304"/>
      <c r="V77" s="305"/>
      <c r="W77" s="197" t="s">
        <v>290</v>
      </c>
      <c r="X77" s="75">
        <v>42133</v>
      </c>
      <c r="Y77" s="73" t="s">
        <v>132</v>
      </c>
    </row>
    <row r="78" spans="1:25" s="73" customFormat="1" ht="36" customHeight="1" x14ac:dyDescent="0.35">
      <c r="A78" s="116" t="s">
        <v>220</v>
      </c>
      <c r="B78" s="109">
        <v>42133</v>
      </c>
      <c r="C78" s="127">
        <v>133734</v>
      </c>
      <c r="D78" s="124">
        <v>42112</v>
      </c>
      <c r="E78" s="88" t="s">
        <v>177</v>
      </c>
      <c r="F78" s="73" t="s">
        <v>103</v>
      </c>
      <c r="G78" s="73">
        <v>0</v>
      </c>
      <c r="H78" s="73">
        <v>0</v>
      </c>
      <c r="I78" s="73">
        <v>0</v>
      </c>
      <c r="J78" s="73">
        <v>0</v>
      </c>
      <c r="K78" s="73">
        <v>0</v>
      </c>
      <c r="L78" s="74">
        <v>0</v>
      </c>
      <c r="M78" s="303" t="s">
        <v>221</v>
      </c>
      <c r="N78" s="304"/>
      <c r="O78" s="304"/>
      <c r="P78" s="304"/>
      <c r="Q78" s="304"/>
      <c r="R78" s="304"/>
      <c r="S78" s="304"/>
      <c r="T78" s="304"/>
      <c r="U78" s="304"/>
      <c r="V78" s="305"/>
      <c r="W78" s="197" t="s">
        <v>290</v>
      </c>
      <c r="X78" s="75">
        <v>42133</v>
      </c>
      <c r="Y78" s="73" t="s">
        <v>132</v>
      </c>
    </row>
    <row r="79" spans="1:25" s="73" customFormat="1" ht="36" customHeight="1" x14ac:dyDescent="0.35">
      <c r="A79" s="116" t="s">
        <v>215</v>
      </c>
      <c r="B79" s="109">
        <v>42133</v>
      </c>
      <c r="C79" s="127">
        <v>37456</v>
      </c>
      <c r="D79" s="124">
        <v>41967</v>
      </c>
      <c r="E79" s="88" t="s">
        <v>177</v>
      </c>
      <c r="F79" s="73" t="s">
        <v>103</v>
      </c>
      <c r="G79" s="73">
        <v>18</v>
      </c>
      <c r="H79" s="73">
        <v>0</v>
      </c>
      <c r="I79" s="73">
        <v>0</v>
      </c>
      <c r="J79" s="73">
        <v>0</v>
      </c>
      <c r="K79" s="73">
        <v>0</v>
      </c>
      <c r="L79" s="74">
        <v>1</v>
      </c>
      <c r="M79" s="303" t="s">
        <v>170</v>
      </c>
      <c r="N79" s="304"/>
      <c r="O79" s="304"/>
      <c r="P79" s="304"/>
      <c r="Q79" s="304"/>
      <c r="R79" s="304"/>
      <c r="S79" s="304"/>
      <c r="T79" s="304"/>
      <c r="U79" s="304"/>
      <c r="V79" s="305"/>
      <c r="W79" s="197" t="s">
        <v>290</v>
      </c>
      <c r="X79" s="75">
        <v>42133</v>
      </c>
      <c r="Y79" s="73" t="s">
        <v>132</v>
      </c>
    </row>
    <row r="80" spans="1:25" s="73" customFormat="1" ht="36" customHeight="1" thickBot="1" x14ac:dyDescent="0.4">
      <c r="A80" s="200" t="s">
        <v>106</v>
      </c>
      <c r="B80" s="111">
        <v>42133</v>
      </c>
      <c r="C80" s="201">
        <v>10530</v>
      </c>
      <c r="D80" s="73" t="s">
        <v>103</v>
      </c>
      <c r="E80" s="202" t="s">
        <v>103</v>
      </c>
      <c r="F80" s="73" t="s">
        <v>103</v>
      </c>
      <c r="G80" s="73">
        <v>17</v>
      </c>
      <c r="H80" s="73">
        <v>2</v>
      </c>
      <c r="I80" s="73">
        <v>0</v>
      </c>
      <c r="J80" s="73">
        <v>0</v>
      </c>
      <c r="K80" s="73">
        <v>2</v>
      </c>
      <c r="L80" s="74">
        <v>0</v>
      </c>
      <c r="M80" s="309" t="s">
        <v>222</v>
      </c>
      <c r="N80" s="310"/>
      <c r="O80" s="310"/>
      <c r="P80" s="310"/>
      <c r="Q80" s="310"/>
      <c r="R80" s="310"/>
      <c r="S80" s="310"/>
      <c r="T80" s="310"/>
      <c r="U80" s="310"/>
      <c r="V80" s="311"/>
      <c r="W80" s="203" t="s">
        <v>290</v>
      </c>
      <c r="X80" s="75">
        <v>42133</v>
      </c>
      <c r="Y80" s="73" t="s">
        <v>132</v>
      </c>
    </row>
    <row r="81" spans="1:25" s="68" customFormat="1" ht="36" customHeight="1" x14ac:dyDescent="0.35">
      <c r="A81" s="112" t="s">
        <v>223</v>
      </c>
      <c r="B81" s="205">
        <v>42135</v>
      </c>
      <c r="C81" s="131">
        <v>175741</v>
      </c>
      <c r="D81" s="132" t="s">
        <v>183</v>
      </c>
      <c r="E81" s="132" t="s">
        <v>183</v>
      </c>
      <c r="F81" s="68">
        <v>0</v>
      </c>
      <c r="G81" s="68">
        <v>14</v>
      </c>
      <c r="H81" s="68">
        <v>0</v>
      </c>
      <c r="I81" s="68">
        <v>0</v>
      </c>
      <c r="J81" s="68">
        <v>0</v>
      </c>
      <c r="K81" s="68">
        <v>0</v>
      </c>
      <c r="L81" s="69">
        <v>1</v>
      </c>
      <c r="M81" s="306" t="s">
        <v>231</v>
      </c>
      <c r="N81" s="307"/>
      <c r="O81" s="307"/>
      <c r="P81" s="307"/>
      <c r="Q81" s="307"/>
      <c r="R81" s="307"/>
      <c r="S81" s="307"/>
      <c r="T81" s="307"/>
      <c r="U81" s="307"/>
      <c r="V81" s="308"/>
      <c r="W81" s="206" t="s">
        <v>290</v>
      </c>
      <c r="X81" s="70">
        <v>42135</v>
      </c>
      <c r="Y81" s="68" t="s">
        <v>125</v>
      </c>
    </row>
    <row r="82" spans="1:25" s="73" customFormat="1" ht="36" customHeight="1" x14ac:dyDescent="0.35">
      <c r="A82" s="116" t="s">
        <v>223</v>
      </c>
      <c r="B82" s="134">
        <v>42135</v>
      </c>
      <c r="C82" s="127">
        <v>99472</v>
      </c>
      <c r="D82" s="124" t="s">
        <v>183</v>
      </c>
      <c r="E82" s="124" t="s">
        <v>183</v>
      </c>
      <c r="F82" s="73">
        <v>0</v>
      </c>
      <c r="G82" s="73">
        <v>12</v>
      </c>
      <c r="H82" s="73">
        <v>0</v>
      </c>
      <c r="I82" s="73">
        <v>0</v>
      </c>
      <c r="J82" s="73">
        <v>0</v>
      </c>
      <c r="K82" s="73">
        <v>0</v>
      </c>
      <c r="L82" s="74">
        <v>1</v>
      </c>
      <c r="M82" s="300" t="s">
        <v>230</v>
      </c>
      <c r="N82" s="301"/>
      <c r="O82" s="301"/>
      <c r="P82" s="301"/>
      <c r="Q82" s="301"/>
      <c r="R82" s="301"/>
      <c r="S82" s="301"/>
      <c r="T82" s="301"/>
      <c r="U82" s="301"/>
      <c r="V82" s="302"/>
      <c r="W82" s="197" t="s">
        <v>290</v>
      </c>
      <c r="X82" s="75">
        <v>42135</v>
      </c>
      <c r="Y82" s="73" t="s">
        <v>125</v>
      </c>
    </row>
    <row r="83" spans="1:25" s="73" customFormat="1" ht="36" customHeight="1" x14ac:dyDescent="0.35">
      <c r="A83" s="116" t="s">
        <v>224</v>
      </c>
      <c r="B83" s="134">
        <v>42135</v>
      </c>
      <c r="C83" s="127">
        <v>37001</v>
      </c>
      <c r="D83" s="124" t="s">
        <v>183</v>
      </c>
      <c r="E83" s="124" t="s">
        <v>183</v>
      </c>
      <c r="F83" s="73" t="s">
        <v>183</v>
      </c>
      <c r="G83" s="73">
        <v>16</v>
      </c>
      <c r="H83" s="73">
        <v>0</v>
      </c>
      <c r="I83" s="73">
        <v>0</v>
      </c>
      <c r="J83" s="73">
        <v>0</v>
      </c>
      <c r="K83" s="73">
        <v>0</v>
      </c>
      <c r="L83" s="74">
        <v>1</v>
      </c>
      <c r="M83" s="300" t="s">
        <v>225</v>
      </c>
      <c r="N83" s="301"/>
      <c r="O83" s="301"/>
      <c r="P83" s="301"/>
      <c r="Q83" s="301"/>
      <c r="R83" s="301"/>
      <c r="S83" s="301"/>
      <c r="T83" s="301"/>
      <c r="U83" s="301"/>
      <c r="V83" s="302"/>
      <c r="W83" s="197" t="s">
        <v>290</v>
      </c>
      <c r="X83" s="75">
        <v>42135</v>
      </c>
      <c r="Y83" s="73" t="s">
        <v>125</v>
      </c>
    </row>
    <row r="84" spans="1:25" s="73" customFormat="1" ht="36" customHeight="1" x14ac:dyDescent="0.35">
      <c r="A84" s="116" t="s">
        <v>226</v>
      </c>
      <c r="B84" s="134">
        <v>42135</v>
      </c>
      <c r="C84" s="127">
        <v>98858</v>
      </c>
      <c r="D84" s="124" t="s">
        <v>183</v>
      </c>
      <c r="E84" s="124" t="s">
        <v>183</v>
      </c>
      <c r="F84" s="73" t="s">
        <v>183</v>
      </c>
      <c r="G84" s="73">
        <v>16</v>
      </c>
      <c r="H84" s="73">
        <v>0</v>
      </c>
      <c r="I84" s="73">
        <v>0</v>
      </c>
      <c r="J84" s="73">
        <v>0</v>
      </c>
      <c r="K84" s="73">
        <v>0</v>
      </c>
      <c r="L84" s="74">
        <v>1</v>
      </c>
      <c r="M84" s="300" t="s">
        <v>227</v>
      </c>
      <c r="N84" s="301"/>
      <c r="O84" s="301"/>
      <c r="P84" s="301"/>
      <c r="Q84" s="301"/>
      <c r="R84" s="301"/>
      <c r="S84" s="301"/>
      <c r="T84" s="301"/>
      <c r="U84" s="301"/>
      <c r="V84" s="302"/>
      <c r="W84" s="197" t="s">
        <v>290</v>
      </c>
      <c r="X84" s="75">
        <v>42135</v>
      </c>
      <c r="Y84" s="73" t="s">
        <v>125</v>
      </c>
    </row>
    <row r="85" spans="1:25" s="73" customFormat="1" ht="36" customHeight="1" x14ac:dyDescent="0.35">
      <c r="A85" s="116" t="s">
        <v>224</v>
      </c>
      <c r="B85" s="134">
        <v>42135</v>
      </c>
      <c r="C85" s="127">
        <v>16327</v>
      </c>
      <c r="D85" s="124" t="s">
        <v>183</v>
      </c>
      <c r="E85" s="124" t="s">
        <v>183</v>
      </c>
      <c r="F85" s="73" t="s">
        <v>183</v>
      </c>
      <c r="G85" s="73">
        <v>16</v>
      </c>
      <c r="H85" s="73">
        <v>0</v>
      </c>
      <c r="I85" s="73">
        <v>0</v>
      </c>
      <c r="J85" s="73">
        <v>0</v>
      </c>
      <c r="K85" s="73">
        <v>0</v>
      </c>
      <c r="L85" s="74">
        <v>1</v>
      </c>
      <c r="M85" s="300" t="s">
        <v>228</v>
      </c>
      <c r="N85" s="301"/>
      <c r="O85" s="301"/>
      <c r="P85" s="301"/>
      <c r="Q85" s="301"/>
      <c r="R85" s="301"/>
      <c r="S85" s="301"/>
      <c r="T85" s="301"/>
      <c r="U85" s="301"/>
      <c r="V85" s="302"/>
      <c r="W85" s="197" t="s">
        <v>290</v>
      </c>
      <c r="X85" s="75">
        <v>42135</v>
      </c>
      <c r="Y85" s="73" t="s">
        <v>125</v>
      </c>
    </row>
    <row r="86" spans="1:25" s="73" customFormat="1" ht="36" customHeight="1" x14ac:dyDescent="0.35">
      <c r="A86" s="116" t="s">
        <v>226</v>
      </c>
      <c r="B86" s="134">
        <v>42135</v>
      </c>
      <c r="C86" s="127">
        <v>12556</v>
      </c>
      <c r="D86" s="124" t="s">
        <v>183</v>
      </c>
      <c r="E86" s="124" t="s">
        <v>183</v>
      </c>
      <c r="F86" s="73" t="s">
        <v>183</v>
      </c>
      <c r="G86" s="73">
        <v>16</v>
      </c>
      <c r="H86" s="73">
        <v>0</v>
      </c>
      <c r="I86" s="73">
        <v>0</v>
      </c>
      <c r="J86" s="73">
        <v>0</v>
      </c>
      <c r="K86" s="73">
        <v>0</v>
      </c>
      <c r="L86" s="74">
        <v>1</v>
      </c>
      <c r="M86" s="300" t="s">
        <v>229</v>
      </c>
      <c r="N86" s="301"/>
      <c r="O86" s="301"/>
      <c r="P86" s="301"/>
      <c r="Q86" s="301"/>
      <c r="R86" s="301"/>
      <c r="S86" s="301"/>
      <c r="T86" s="301"/>
      <c r="U86" s="301"/>
      <c r="V86" s="302"/>
      <c r="W86" s="197" t="s">
        <v>290</v>
      </c>
      <c r="X86" s="75">
        <v>42135</v>
      </c>
      <c r="Y86" s="73" t="s">
        <v>125</v>
      </c>
    </row>
    <row r="87" spans="1:25" s="73" customFormat="1" ht="36" customHeight="1" x14ac:dyDescent="0.35">
      <c r="A87" s="116" t="s">
        <v>123</v>
      </c>
      <c r="B87" s="134">
        <v>42136</v>
      </c>
      <c r="C87" s="127">
        <v>148747</v>
      </c>
      <c r="D87" s="124">
        <v>42136</v>
      </c>
      <c r="E87" s="124" t="s">
        <v>206</v>
      </c>
      <c r="F87" s="73" t="s">
        <v>232</v>
      </c>
      <c r="G87" s="73">
        <v>14</v>
      </c>
      <c r="H87" s="73">
        <v>1</v>
      </c>
      <c r="I87" s="73">
        <v>0</v>
      </c>
      <c r="J87" s="73">
        <v>1</v>
      </c>
      <c r="K87" s="73">
        <v>0</v>
      </c>
      <c r="L87" s="74">
        <v>1</v>
      </c>
      <c r="M87" s="300" t="s">
        <v>233</v>
      </c>
      <c r="N87" s="301"/>
      <c r="O87" s="301"/>
      <c r="P87" s="301"/>
      <c r="Q87" s="301"/>
      <c r="R87" s="301"/>
      <c r="S87" s="301"/>
      <c r="T87" s="301"/>
      <c r="U87" s="301"/>
      <c r="V87" s="302"/>
      <c r="W87" s="197" t="s">
        <v>290</v>
      </c>
      <c r="X87" s="75">
        <v>42136</v>
      </c>
      <c r="Y87" s="73" t="s">
        <v>125</v>
      </c>
    </row>
    <row r="88" spans="1:25" s="73" customFormat="1" ht="36" customHeight="1" x14ac:dyDescent="0.35">
      <c r="A88" s="116" t="s">
        <v>123</v>
      </c>
      <c r="B88" s="134">
        <v>42136</v>
      </c>
      <c r="C88" s="127">
        <v>192926</v>
      </c>
      <c r="D88" s="124">
        <v>42074</v>
      </c>
      <c r="E88" s="124" t="s">
        <v>234</v>
      </c>
      <c r="F88" s="73" t="s">
        <v>239</v>
      </c>
      <c r="G88" s="73">
        <v>21</v>
      </c>
      <c r="H88" s="73">
        <v>2</v>
      </c>
      <c r="I88" s="73">
        <v>0</v>
      </c>
      <c r="J88" s="73">
        <v>0</v>
      </c>
      <c r="K88" s="73">
        <v>2</v>
      </c>
      <c r="L88" s="74">
        <v>0</v>
      </c>
      <c r="M88" s="300" t="s">
        <v>235</v>
      </c>
      <c r="N88" s="301"/>
      <c r="O88" s="301"/>
      <c r="P88" s="301"/>
      <c r="Q88" s="301"/>
      <c r="R88" s="301"/>
      <c r="S88" s="301"/>
      <c r="T88" s="301"/>
      <c r="U88" s="301"/>
      <c r="V88" s="302"/>
      <c r="W88" s="197" t="s">
        <v>290</v>
      </c>
      <c r="X88" s="75">
        <v>42136</v>
      </c>
      <c r="Y88" s="73" t="s">
        <v>125</v>
      </c>
    </row>
    <row r="89" spans="1:25" s="73" customFormat="1" ht="36" customHeight="1" x14ac:dyDescent="0.35">
      <c r="A89" s="116" t="s">
        <v>154</v>
      </c>
      <c r="B89" s="134">
        <v>42136</v>
      </c>
      <c r="C89" s="127">
        <v>16364</v>
      </c>
      <c r="D89" s="124">
        <v>42094</v>
      </c>
      <c r="E89" s="124" t="s">
        <v>236</v>
      </c>
      <c r="F89" s="73" t="s">
        <v>239</v>
      </c>
      <c r="G89" s="73">
        <v>13</v>
      </c>
      <c r="H89" s="73">
        <v>3</v>
      </c>
      <c r="I89" s="73">
        <v>0</v>
      </c>
      <c r="J89" s="73">
        <v>0</v>
      </c>
      <c r="K89" s="73">
        <v>3</v>
      </c>
      <c r="L89" s="74">
        <v>0.8125</v>
      </c>
      <c r="M89" s="300" t="s">
        <v>237</v>
      </c>
      <c r="N89" s="301"/>
      <c r="O89" s="301"/>
      <c r="P89" s="301"/>
      <c r="Q89" s="301"/>
      <c r="R89" s="301"/>
      <c r="S89" s="301"/>
      <c r="T89" s="301"/>
      <c r="U89" s="301"/>
      <c r="V89" s="302"/>
      <c r="W89" s="197" t="s">
        <v>290</v>
      </c>
      <c r="X89" s="75">
        <v>42136</v>
      </c>
      <c r="Y89" s="73" t="s">
        <v>125</v>
      </c>
    </row>
    <row r="90" spans="1:25" s="73" customFormat="1" ht="36" customHeight="1" x14ac:dyDescent="0.35">
      <c r="A90" s="116" t="s">
        <v>238</v>
      </c>
      <c r="B90" s="134">
        <v>42136</v>
      </c>
      <c r="C90" s="127">
        <v>10711</v>
      </c>
      <c r="D90" s="124" t="s">
        <v>239</v>
      </c>
      <c r="E90" s="124" t="s">
        <v>239</v>
      </c>
      <c r="F90" s="73" t="s">
        <v>170</v>
      </c>
      <c r="G90" s="73">
        <v>14</v>
      </c>
      <c r="H90" s="73">
        <v>2</v>
      </c>
      <c r="I90" s="73">
        <v>0</v>
      </c>
      <c r="J90" s="73">
        <v>2</v>
      </c>
      <c r="K90" s="73">
        <v>0</v>
      </c>
      <c r="L90" s="74">
        <v>1</v>
      </c>
      <c r="M90" s="300" t="s">
        <v>240</v>
      </c>
      <c r="N90" s="301"/>
      <c r="O90" s="301"/>
      <c r="P90" s="301"/>
      <c r="Q90" s="301"/>
      <c r="R90" s="301"/>
      <c r="S90" s="301"/>
      <c r="T90" s="301"/>
      <c r="U90" s="301"/>
      <c r="V90" s="302"/>
      <c r="W90" s="197" t="s">
        <v>290</v>
      </c>
      <c r="X90" s="75">
        <v>42136</v>
      </c>
      <c r="Y90" s="73" t="s">
        <v>125</v>
      </c>
    </row>
    <row r="91" spans="1:25" s="73" customFormat="1" ht="36" customHeight="1" x14ac:dyDescent="0.35">
      <c r="A91" s="116" t="s">
        <v>238</v>
      </c>
      <c r="B91" s="134">
        <v>42136</v>
      </c>
      <c r="C91" s="127">
        <v>98605</v>
      </c>
      <c r="D91" s="124">
        <v>42046</v>
      </c>
      <c r="E91" s="124" t="s">
        <v>236</v>
      </c>
      <c r="F91" s="73" t="s">
        <v>9</v>
      </c>
      <c r="G91" s="73">
        <v>20</v>
      </c>
      <c r="H91" s="73">
        <v>1</v>
      </c>
      <c r="I91" s="73">
        <v>0</v>
      </c>
      <c r="J91" s="73">
        <v>1</v>
      </c>
      <c r="K91" s="73">
        <v>0</v>
      </c>
      <c r="L91" s="74">
        <v>0</v>
      </c>
      <c r="M91" s="300" t="s">
        <v>241</v>
      </c>
      <c r="N91" s="301"/>
      <c r="O91" s="301"/>
      <c r="P91" s="301"/>
      <c r="Q91" s="301"/>
      <c r="R91" s="301"/>
      <c r="S91" s="301"/>
      <c r="T91" s="301"/>
      <c r="U91" s="301"/>
      <c r="V91" s="302"/>
      <c r="W91" s="197" t="s">
        <v>290</v>
      </c>
      <c r="X91" s="75">
        <v>42136</v>
      </c>
      <c r="Y91" s="73" t="s">
        <v>125</v>
      </c>
    </row>
    <row r="92" spans="1:25" s="73" customFormat="1" ht="36" customHeight="1" x14ac:dyDescent="0.35">
      <c r="A92" s="116" t="s">
        <v>127</v>
      </c>
      <c r="B92" s="134">
        <v>42136</v>
      </c>
      <c r="C92" s="127">
        <v>219501</v>
      </c>
      <c r="D92" s="124">
        <v>42131</v>
      </c>
      <c r="E92" s="124" t="s">
        <v>236</v>
      </c>
      <c r="F92" s="73" t="s">
        <v>103</v>
      </c>
      <c r="G92" s="73">
        <v>11</v>
      </c>
      <c r="H92" s="73">
        <v>1</v>
      </c>
      <c r="I92" s="73">
        <v>0</v>
      </c>
      <c r="J92" s="73">
        <v>0</v>
      </c>
      <c r="K92" s="73">
        <v>1</v>
      </c>
      <c r="L92" s="74">
        <v>0.91666666666666663</v>
      </c>
      <c r="M92" s="300" t="s">
        <v>242</v>
      </c>
      <c r="N92" s="301"/>
      <c r="O92" s="301"/>
      <c r="P92" s="301"/>
      <c r="Q92" s="301"/>
      <c r="R92" s="301"/>
      <c r="S92" s="301"/>
      <c r="T92" s="301"/>
      <c r="U92" s="301"/>
      <c r="V92" s="302"/>
      <c r="W92" s="197" t="s">
        <v>290</v>
      </c>
      <c r="X92" s="75">
        <v>42136</v>
      </c>
      <c r="Y92" s="73" t="s">
        <v>125</v>
      </c>
    </row>
    <row r="93" spans="1:25" s="73" customFormat="1" ht="36" customHeight="1" x14ac:dyDescent="0.35">
      <c r="A93" s="116" t="s">
        <v>127</v>
      </c>
      <c r="B93" s="134">
        <v>42136</v>
      </c>
      <c r="C93" s="127">
        <v>42380</v>
      </c>
      <c r="D93" s="124" t="s">
        <v>239</v>
      </c>
      <c r="E93" s="124" t="s">
        <v>239</v>
      </c>
      <c r="F93" s="73" t="s">
        <v>103</v>
      </c>
      <c r="G93" s="73">
        <v>16</v>
      </c>
      <c r="H93" s="73">
        <v>0</v>
      </c>
      <c r="I93" s="73">
        <v>0</v>
      </c>
      <c r="J93" s="73">
        <v>0</v>
      </c>
      <c r="K93" s="73">
        <v>0</v>
      </c>
      <c r="L93" s="74">
        <v>1</v>
      </c>
      <c r="M93" s="300" t="s">
        <v>243</v>
      </c>
      <c r="N93" s="301"/>
      <c r="O93" s="301"/>
      <c r="P93" s="301"/>
      <c r="Q93" s="301"/>
      <c r="R93" s="301"/>
      <c r="S93" s="301"/>
      <c r="T93" s="301"/>
      <c r="U93" s="301"/>
      <c r="V93" s="302"/>
      <c r="W93" s="197" t="s">
        <v>290</v>
      </c>
      <c r="X93" s="75">
        <v>42136</v>
      </c>
      <c r="Y93" s="73" t="s">
        <v>125</v>
      </c>
    </row>
    <row r="94" spans="1:25" s="73" customFormat="1" ht="17.25" customHeight="1" x14ac:dyDescent="0.35">
      <c r="A94" s="116" t="s">
        <v>210</v>
      </c>
      <c r="B94" s="134">
        <v>42136</v>
      </c>
      <c r="C94" s="127">
        <v>7988</v>
      </c>
      <c r="D94" s="124">
        <v>42143</v>
      </c>
      <c r="E94" s="195" t="s">
        <v>103</v>
      </c>
      <c r="F94" s="73" t="s">
        <v>103</v>
      </c>
      <c r="G94" s="73">
        <v>7</v>
      </c>
      <c r="H94" s="73">
        <v>0</v>
      </c>
      <c r="I94" s="73">
        <v>0</v>
      </c>
      <c r="J94" s="73">
        <v>0</v>
      </c>
      <c r="K94" s="73">
        <v>0</v>
      </c>
      <c r="L94" s="74">
        <v>1</v>
      </c>
      <c r="M94" s="300" t="s">
        <v>244</v>
      </c>
      <c r="N94" s="301"/>
      <c r="O94" s="301"/>
      <c r="P94" s="301"/>
      <c r="Q94" s="301"/>
      <c r="R94" s="301"/>
      <c r="S94" s="301"/>
      <c r="T94" s="301"/>
      <c r="U94" s="301"/>
      <c r="V94" s="302"/>
      <c r="W94" s="197" t="s">
        <v>290</v>
      </c>
      <c r="X94" s="75">
        <v>42136</v>
      </c>
      <c r="Y94" s="73" t="s">
        <v>181</v>
      </c>
    </row>
    <row r="95" spans="1:25" s="73" customFormat="1" ht="41.25" customHeight="1" x14ac:dyDescent="0.35">
      <c r="A95" s="116" t="s">
        <v>2</v>
      </c>
      <c r="B95" s="134">
        <v>42136</v>
      </c>
      <c r="C95" s="127">
        <v>10132</v>
      </c>
      <c r="D95" s="124">
        <v>42011</v>
      </c>
      <c r="E95" s="195" t="s">
        <v>103</v>
      </c>
      <c r="F95" s="73" t="s">
        <v>103</v>
      </c>
      <c r="G95" s="73">
        <v>8</v>
      </c>
      <c r="H95" s="73">
        <v>0</v>
      </c>
      <c r="I95" s="73">
        <v>0</v>
      </c>
      <c r="J95" s="73">
        <v>0</v>
      </c>
      <c r="K95" s="73">
        <v>0</v>
      </c>
      <c r="L95" s="74">
        <v>1</v>
      </c>
      <c r="M95" s="300" t="s">
        <v>245</v>
      </c>
      <c r="N95" s="301"/>
      <c r="O95" s="301"/>
      <c r="P95" s="301"/>
      <c r="Q95" s="301"/>
      <c r="R95" s="301"/>
      <c r="S95" s="301"/>
      <c r="T95" s="301"/>
      <c r="U95" s="301"/>
      <c r="V95" s="302"/>
      <c r="W95" s="197" t="s">
        <v>290</v>
      </c>
      <c r="X95" s="75">
        <v>42136</v>
      </c>
      <c r="Y95" s="73" t="s">
        <v>181</v>
      </c>
    </row>
    <row r="96" spans="1:25" s="73" customFormat="1" ht="36" customHeight="1" x14ac:dyDescent="0.35">
      <c r="A96" s="116" t="s">
        <v>155</v>
      </c>
      <c r="B96" s="134">
        <v>42136</v>
      </c>
      <c r="C96" s="127">
        <v>158053</v>
      </c>
      <c r="D96" s="124">
        <v>42129</v>
      </c>
      <c r="E96" s="195" t="s">
        <v>103</v>
      </c>
      <c r="F96" s="73" t="s">
        <v>103</v>
      </c>
      <c r="G96" s="73">
        <v>8</v>
      </c>
      <c r="H96" s="73">
        <v>0</v>
      </c>
      <c r="I96" s="73">
        <v>0</v>
      </c>
      <c r="J96" s="73">
        <v>0</v>
      </c>
      <c r="K96" s="73">
        <v>0</v>
      </c>
      <c r="L96" s="74">
        <v>1</v>
      </c>
      <c r="M96" s="300" t="s">
        <v>245</v>
      </c>
      <c r="N96" s="301"/>
      <c r="O96" s="301"/>
      <c r="P96" s="301"/>
      <c r="Q96" s="301"/>
      <c r="R96" s="301"/>
      <c r="S96" s="301"/>
      <c r="T96" s="301"/>
      <c r="U96" s="301"/>
      <c r="V96" s="302"/>
      <c r="W96" s="197" t="s">
        <v>290</v>
      </c>
      <c r="X96" s="75">
        <v>42136</v>
      </c>
      <c r="Y96" s="73" t="s">
        <v>181</v>
      </c>
    </row>
    <row r="97" spans="1:25" s="73" customFormat="1" ht="36" customHeight="1" x14ac:dyDescent="0.35">
      <c r="A97" s="116" t="s">
        <v>169</v>
      </c>
      <c r="B97" s="134">
        <v>42136</v>
      </c>
      <c r="C97" s="127">
        <v>12777</v>
      </c>
      <c r="D97" s="124">
        <v>42045</v>
      </c>
      <c r="E97" s="195" t="s">
        <v>103</v>
      </c>
      <c r="F97" s="73" t="s">
        <v>103</v>
      </c>
      <c r="G97" s="73">
        <v>8</v>
      </c>
      <c r="H97" s="73">
        <v>0</v>
      </c>
      <c r="I97" s="73">
        <v>0</v>
      </c>
      <c r="J97" s="73">
        <v>0</v>
      </c>
      <c r="K97" s="73">
        <v>0</v>
      </c>
      <c r="L97" s="74">
        <v>1</v>
      </c>
      <c r="M97" s="300" t="s">
        <v>246</v>
      </c>
      <c r="N97" s="301"/>
      <c r="O97" s="301"/>
      <c r="P97" s="301"/>
      <c r="Q97" s="301"/>
      <c r="R97" s="301"/>
      <c r="S97" s="301"/>
      <c r="T97" s="301"/>
      <c r="U97" s="301"/>
      <c r="V97" s="302"/>
      <c r="W97" s="197" t="s">
        <v>290</v>
      </c>
      <c r="X97" s="75">
        <v>42136</v>
      </c>
      <c r="Y97" s="73" t="s">
        <v>181</v>
      </c>
    </row>
    <row r="98" spans="1:25" s="73" customFormat="1" ht="36" customHeight="1" x14ac:dyDescent="0.35">
      <c r="A98" s="116" t="s">
        <v>157</v>
      </c>
      <c r="B98" s="134">
        <v>42136</v>
      </c>
      <c r="C98" s="127">
        <v>187061</v>
      </c>
      <c r="D98" s="124">
        <v>42047</v>
      </c>
      <c r="E98" s="195" t="s">
        <v>103</v>
      </c>
      <c r="F98" s="73" t="s">
        <v>103</v>
      </c>
      <c r="G98" s="73">
        <v>6</v>
      </c>
      <c r="H98" s="73">
        <v>0</v>
      </c>
      <c r="I98" s="73">
        <v>0</v>
      </c>
      <c r="J98" s="73">
        <v>0</v>
      </c>
      <c r="K98" s="73">
        <v>0</v>
      </c>
      <c r="L98" s="74">
        <v>1</v>
      </c>
      <c r="M98" s="300" t="s">
        <v>246</v>
      </c>
      <c r="N98" s="301"/>
      <c r="O98" s="301"/>
      <c r="P98" s="301"/>
      <c r="Q98" s="301"/>
      <c r="R98" s="301"/>
      <c r="S98" s="301"/>
      <c r="T98" s="301"/>
      <c r="U98" s="301"/>
      <c r="V98" s="302"/>
      <c r="W98" s="197" t="s">
        <v>290</v>
      </c>
      <c r="X98" s="75">
        <v>42136</v>
      </c>
      <c r="Y98" s="73" t="s">
        <v>181</v>
      </c>
    </row>
    <row r="99" spans="1:25" s="73" customFormat="1" ht="36" customHeight="1" x14ac:dyDescent="0.35">
      <c r="A99" s="116" t="s">
        <v>106</v>
      </c>
      <c r="B99" s="134">
        <v>42136</v>
      </c>
      <c r="C99" s="127">
        <v>187061</v>
      </c>
      <c r="D99" s="124">
        <v>42124</v>
      </c>
      <c r="E99" s="195" t="s">
        <v>103</v>
      </c>
      <c r="F99" s="73" t="s">
        <v>103</v>
      </c>
      <c r="G99" s="73">
        <v>5</v>
      </c>
      <c r="H99" s="73">
        <v>0</v>
      </c>
      <c r="I99" s="73">
        <v>0</v>
      </c>
      <c r="J99" s="73">
        <v>0</v>
      </c>
      <c r="K99" s="73">
        <v>0</v>
      </c>
      <c r="L99" s="74">
        <v>1</v>
      </c>
      <c r="M99" s="300" t="s">
        <v>247</v>
      </c>
      <c r="N99" s="301"/>
      <c r="O99" s="301"/>
      <c r="P99" s="301"/>
      <c r="Q99" s="301"/>
      <c r="R99" s="301"/>
      <c r="S99" s="301"/>
      <c r="T99" s="301"/>
      <c r="U99" s="301"/>
      <c r="V99" s="302"/>
      <c r="W99" s="197" t="s">
        <v>290</v>
      </c>
      <c r="X99" s="75">
        <v>42136</v>
      </c>
      <c r="Y99" s="73" t="s">
        <v>181</v>
      </c>
    </row>
    <row r="100" spans="1:25" s="73" customFormat="1" ht="36" customHeight="1" x14ac:dyDescent="0.35">
      <c r="A100" s="116" t="s">
        <v>156</v>
      </c>
      <c r="B100" s="134">
        <v>42136</v>
      </c>
      <c r="C100" s="127">
        <v>142166</v>
      </c>
      <c r="D100" s="124">
        <v>42115</v>
      </c>
      <c r="E100" s="195" t="s">
        <v>103</v>
      </c>
      <c r="F100" s="73" t="s">
        <v>103</v>
      </c>
      <c r="G100" s="73">
        <v>5</v>
      </c>
      <c r="H100" s="73">
        <v>0</v>
      </c>
      <c r="I100" s="73">
        <v>0</v>
      </c>
      <c r="J100" s="73">
        <v>0</v>
      </c>
      <c r="K100" s="73">
        <v>0</v>
      </c>
      <c r="L100" s="74">
        <v>1</v>
      </c>
      <c r="M100" s="300" t="s">
        <v>103</v>
      </c>
      <c r="N100" s="301"/>
      <c r="O100" s="301"/>
      <c r="P100" s="301"/>
      <c r="Q100" s="301"/>
      <c r="R100" s="301"/>
      <c r="S100" s="301"/>
      <c r="T100" s="301"/>
      <c r="U100" s="301"/>
      <c r="V100" s="302"/>
      <c r="W100" s="197" t="s">
        <v>290</v>
      </c>
      <c r="X100" s="75">
        <v>42136</v>
      </c>
      <c r="Y100" s="73" t="s">
        <v>181</v>
      </c>
    </row>
    <row r="101" spans="1:25" s="80" customFormat="1" ht="36" customHeight="1" thickBot="1" x14ac:dyDescent="0.35">
      <c r="A101" s="207" t="s">
        <v>154</v>
      </c>
      <c r="B101" s="208">
        <v>42139</v>
      </c>
      <c r="C101" s="209">
        <v>9315</v>
      </c>
      <c r="D101" s="210">
        <v>41943</v>
      </c>
      <c r="E101" s="210" t="s">
        <v>206</v>
      </c>
      <c r="G101" s="80">
        <v>7</v>
      </c>
      <c r="H101" s="80">
        <v>0</v>
      </c>
      <c r="I101" s="80">
        <v>0</v>
      </c>
      <c r="J101" s="80">
        <v>0</v>
      </c>
      <c r="K101" s="80">
        <v>0</v>
      </c>
      <c r="L101" s="81">
        <v>1</v>
      </c>
      <c r="M101" s="290" t="s">
        <v>292</v>
      </c>
      <c r="N101" s="287"/>
      <c r="O101" s="287"/>
      <c r="P101" s="287"/>
      <c r="Q101" s="287"/>
      <c r="R101" s="287"/>
      <c r="S101" s="287"/>
      <c r="T101" s="287"/>
      <c r="U101" s="287"/>
      <c r="V101" s="288"/>
      <c r="W101" s="211" t="s">
        <v>289</v>
      </c>
      <c r="X101" s="82">
        <v>42139</v>
      </c>
      <c r="Y101" s="80" t="s">
        <v>125</v>
      </c>
    </row>
    <row r="102" spans="1:25" ht="36" customHeight="1" x14ac:dyDescent="0.3">
      <c r="A102" s="142" t="s">
        <v>2</v>
      </c>
      <c r="B102" s="143">
        <v>42139</v>
      </c>
      <c r="C102" s="144">
        <v>9329</v>
      </c>
      <c r="D102" s="149">
        <v>42132</v>
      </c>
      <c r="E102" s="149">
        <v>42138</v>
      </c>
      <c r="G102">
        <v>13</v>
      </c>
      <c r="H102">
        <v>0</v>
      </c>
      <c r="I102">
        <v>0</v>
      </c>
      <c r="J102">
        <v>0</v>
      </c>
      <c r="K102">
        <v>0</v>
      </c>
      <c r="L102" s="92">
        <v>1</v>
      </c>
      <c r="M102" s="289" t="s">
        <v>293</v>
      </c>
      <c r="N102" s="268"/>
      <c r="O102" s="268"/>
      <c r="P102" s="268"/>
      <c r="Q102" s="268"/>
      <c r="R102" s="268"/>
      <c r="S102" s="268"/>
      <c r="T102" s="268"/>
      <c r="U102" s="268"/>
      <c r="V102" s="269"/>
      <c r="W102" s="204" t="s">
        <v>289</v>
      </c>
      <c r="X102" s="93">
        <v>42142</v>
      </c>
      <c r="Y102" t="s">
        <v>181</v>
      </c>
    </row>
    <row r="103" spans="1:25" ht="36" customHeight="1" x14ac:dyDescent="0.3">
      <c r="A103" s="142" t="s">
        <v>294</v>
      </c>
      <c r="B103" s="143">
        <v>42142</v>
      </c>
      <c r="C103" s="144">
        <v>10263</v>
      </c>
      <c r="D103" s="149">
        <v>42136</v>
      </c>
      <c r="E103" s="149">
        <v>42138</v>
      </c>
      <c r="G103">
        <v>15</v>
      </c>
      <c r="H103">
        <v>0</v>
      </c>
      <c r="I103">
        <v>0</v>
      </c>
      <c r="J103">
        <v>0</v>
      </c>
      <c r="K103">
        <v>0</v>
      </c>
      <c r="L103" s="92">
        <v>1</v>
      </c>
      <c r="M103" s="289" t="s">
        <v>245</v>
      </c>
      <c r="N103" s="268"/>
      <c r="O103" s="268"/>
      <c r="P103" s="268"/>
      <c r="Q103" s="268"/>
      <c r="R103" s="268"/>
      <c r="S103" s="268"/>
      <c r="T103" s="268"/>
      <c r="U103" s="268"/>
      <c r="V103" s="269"/>
      <c r="W103" s="198" t="s">
        <v>289</v>
      </c>
      <c r="X103" s="93">
        <v>42142</v>
      </c>
      <c r="Y103" t="s">
        <v>181</v>
      </c>
    </row>
    <row r="104" spans="1:25" ht="36" customHeight="1" x14ac:dyDescent="0.3">
      <c r="A104" s="142" t="s">
        <v>172</v>
      </c>
      <c r="B104" s="143">
        <v>42150</v>
      </c>
      <c r="C104" s="144" t="s">
        <v>296</v>
      </c>
      <c r="D104" s="149">
        <v>42125</v>
      </c>
      <c r="E104" s="212" t="s">
        <v>103</v>
      </c>
      <c r="F104" t="s">
        <v>103</v>
      </c>
      <c r="G104">
        <v>9</v>
      </c>
      <c r="H104">
        <v>1</v>
      </c>
      <c r="I104">
        <v>0</v>
      </c>
      <c r="J104">
        <v>0</v>
      </c>
      <c r="K104">
        <v>1</v>
      </c>
      <c r="L104" s="92">
        <v>0.9</v>
      </c>
      <c r="M104" s="289" t="s">
        <v>295</v>
      </c>
      <c r="N104" s="268"/>
      <c r="O104" s="268"/>
      <c r="P104" s="268"/>
      <c r="Q104" s="268"/>
      <c r="R104" s="268"/>
      <c r="S104" s="268"/>
      <c r="T104" s="268"/>
      <c r="U104" s="268"/>
      <c r="V104" s="269"/>
      <c r="W104" s="198" t="s">
        <v>289</v>
      </c>
      <c r="X104" s="93">
        <v>42150</v>
      </c>
      <c r="Y104" t="s">
        <v>132</v>
      </c>
    </row>
    <row r="105" spans="1:25" ht="36" customHeight="1" x14ac:dyDescent="0.3">
      <c r="A105" s="142" t="s">
        <v>157</v>
      </c>
      <c r="B105" s="143">
        <v>42150</v>
      </c>
      <c r="C105" s="144">
        <v>130130</v>
      </c>
      <c r="D105" s="149">
        <v>42146</v>
      </c>
      <c r="E105" s="149" t="s">
        <v>177</v>
      </c>
      <c r="F105" t="s">
        <v>9</v>
      </c>
      <c r="G105">
        <v>15</v>
      </c>
      <c r="H105">
        <v>0</v>
      </c>
      <c r="I105">
        <v>0</v>
      </c>
      <c r="J105">
        <v>0</v>
      </c>
      <c r="K105">
        <v>0</v>
      </c>
      <c r="L105" s="92">
        <v>1</v>
      </c>
      <c r="M105" s="289" t="s">
        <v>171</v>
      </c>
      <c r="N105" s="268"/>
      <c r="O105" s="268"/>
      <c r="P105" s="268"/>
      <c r="Q105" s="268"/>
      <c r="R105" s="268"/>
      <c r="S105" s="268"/>
      <c r="T105" s="268"/>
      <c r="U105" s="268"/>
      <c r="V105" s="269"/>
      <c r="W105" s="198" t="s">
        <v>289</v>
      </c>
      <c r="X105" s="93">
        <v>42150</v>
      </c>
      <c r="Y105" t="s">
        <v>132</v>
      </c>
    </row>
    <row r="106" spans="1:25" ht="36" customHeight="1" x14ac:dyDescent="0.3">
      <c r="A106" s="142" t="s">
        <v>169</v>
      </c>
      <c r="B106" s="143">
        <v>42150</v>
      </c>
      <c r="C106" s="144">
        <v>11625</v>
      </c>
      <c r="D106" s="149">
        <v>42104</v>
      </c>
      <c r="E106" s="149" t="s">
        <v>177</v>
      </c>
      <c r="F106" t="s">
        <v>9</v>
      </c>
      <c r="G106">
        <v>10</v>
      </c>
      <c r="H106">
        <v>1</v>
      </c>
      <c r="I106">
        <v>0</v>
      </c>
      <c r="J106">
        <v>0</v>
      </c>
      <c r="K106">
        <v>1</v>
      </c>
      <c r="L106" s="92">
        <v>0.90909090909090906</v>
      </c>
      <c r="M106" s="289" t="s">
        <v>297</v>
      </c>
      <c r="N106" s="268"/>
      <c r="O106" s="268"/>
      <c r="P106" s="268"/>
      <c r="Q106" s="268"/>
      <c r="R106" s="268"/>
      <c r="S106" s="268"/>
      <c r="T106" s="268"/>
      <c r="U106" s="268"/>
      <c r="V106" s="269"/>
      <c r="W106" s="198" t="s">
        <v>289</v>
      </c>
      <c r="X106" s="93">
        <v>42150</v>
      </c>
      <c r="Y106" t="s">
        <v>132</v>
      </c>
    </row>
    <row r="107" spans="1:25" ht="36" customHeight="1" x14ac:dyDescent="0.3">
      <c r="A107" s="142" t="s">
        <v>156</v>
      </c>
      <c r="B107" s="143">
        <v>42150</v>
      </c>
      <c r="C107" s="144">
        <v>19788</v>
      </c>
      <c r="D107" s="149">
        <v>42082</v>
      </c>
      <c r="E107" s="149" t="s">
        <v>177</v>
      </c>
      <c r="F107" t="s">
        <v>9</v>
      </c>
      <c r="G107">
        <v>9</v>
      </c>
      <c r="H107">
        <v>1</v>
      </c>
      <c r="I107">
        <v>0</v>
      </c>
      <c r="J107">
        <v>0</v>
      </c>
      <c r="K107">
        <v>1</v>
      </c>
      <c r="L107" s="92">
        <v>0.9</v>
      </c>
      <c r="M107" s="289" t="s">
        <v>298</v>
      </c>
      <c r="N107" s="268"/>
      <c r="O107" s="268"/>
      <c r="P107" s="268"/>
      <c r="Q107" s="268"/>
      <c r="R107" s="268"/>
      <c r="S107" s="268"/>
      <c r="T107" s="268"/>
      <c r="U107" s="268"/>
      <c r="V107" s="269"/>
      <c r="W107" s="198" t="s">
        <v>289</v>
      </c>
      <c r="X107" s="93">
        <v>42150</v>
      </c>
      <c r="Y107" t="s">
        <v>132</v>
      </c>
    </row>
    <row r="108" spans="1:25" ht="36" customHeight="1" x14ac:dyDescent="0.3">
      <c r="A108" s="142" t="s">
        <v>2</v>
      </c>
      <c r="B108" s="143">
        <v>42150</v>
      </c>
      <c r="C108" s="144">
        <v>14336</v>
      </c>
      <c r="D108" s="149">
        <v>41941</v>
      </c>
      <c r="E108" s="149">
        <v>42142</v>
      </c>
      <c r="F108" t="s">
        <v>170</v>
      </c>
      <c r="G108">
        <v>13</v>
      </c>
      <c r="H108">
        <v>0</v>
      </c>
      <c r="I108">
        <v>0</v>
      </c>
      <c r="J108">
        <v>0</v>
      </c>
      <c r="K108">
        <v>0</v>
      </c>
      <c r="L108" s="92">
        <v>1</v>
      </c>
      <c r="M108" s="289" t="s">
        <v>170</v>
      </c>
      <c r="N108" s="268"/>
      <c r="O108" s="268"/>
      <c r="P108" s="268"/>
      <c r="Q108" s="268"/>
      <c r="R108" s="268"/>
      <c r="S108" s="268"/>
      <c r="T108" s="268"/>
      <c r="U108" s="268"/>
      <c r="V108" s="269"/>
      <c r="W108" s="198" t="s">
        <v>289</v>
      </c>
      <c r="X108" s="93">
        <v>42150</v>
      </c>
      <c r="Y108" t="s">
        <v>132</v>
      </c>
    </row>
    <row r="109" spans="1:25" ht="36" customHeight="1" x14ac:dyDescent="0.3">
      <c r="A109" s="142" t="s">
        <v>2</v>
      </c>
      <c r="B109" s="143">
        <v>42181</v>
      </c>
      <c r="C109" s="144">
        <v>14336</v>
      </c>
      <c r="D109" s="149">
        <v>41941</v>
      </c>
      <c r="E109" s="149">
        <v>42142</v>
      </c>
      <c r="F109" t="s">
        <v>170</v>
      </c>
      <c r="G109">
        <v>11</v>
      </c>
      <c r="H109">
        <v>0</v>
      </c>
      <c r="I109">
        <v>0</v>
      </c>
      <c r="J109">
        <v>0</v>
      </c>
      <c r="K109">
        <v>0</v>
      </c>
      <c r="L109" s="92">
        <v>1</v>
      </c>
      <c r="M109" s="289" t="s">
        <v>170</v>
      </c>
      <c r="N109" s="268"/>
      <c r="O109" s="268"/>
      <c r="P109" s="268"/>
      <c r="Q109" s="268"/>
      <c r="R109" s="268"/>
      <c r="S109" s="268"/>
      <c r="T109" s="268"/>
      <c r="U109" s="268"/>
      <c r="V109" s="269"/>
      <c r="W109" s="198" t="s">
        <v>289</v>
      </c>
      <c r="X109" s="93">
        <v>42150</v>
      </c>
      <c r="Y109" t="s">
        <v>132</v>
      </c>
    </row>
    <row r="110" spans="1:25" ht="36" customHeight="1" x14ac:dyDescent="0.3">
      <c r="A110" s="142" t="s">
        <v>106</v>
      </c>
      <c r="B110" s="143">
        <v>42150</v>
      </c>
      <c r="C110" s="144">
        <v>5374</v>
      </c>
      <c r="D110" s="149">
        <v>42041</v>
      </c>
      <c r="E110" s="149" t="s">
        <v>177</v>
      </c>
      <c r="F110" t="s">
        <v>170</v>
      </c>
      <c r="G110">
        <v>15</v>
      </c>
      <c r="H110">
        <v>0</v>
      </c>
      <c r="I110">
        <v>0</v>
      </c>
      <c r="J110">
        <v>0</v>
      </c>
      <c r="K110">
        <v>0</v>
      </c>
      <c r="L110" s="92">
        <v>1</v>
      </c>
      <c r="M110" s="289" t="s">
        <v>171</v>
      </c>
      <c r="N110" s="268"/>
      <c r="O110" s="268"/>
      <c r="P110" s="268"/>
      <c r="Q110" s="268"/>
      <c r="R110" s="268"/>
      <c r="S110" s="268"/>
      <c r="T110" s="268"/>
      <c r="U110" s="268"/>
      <c r="V110" s="269"/>
      <c r="W110" s="198" t="s">
        <v>289</v>
      </c>
      <c r="X110" s="93">
        <v>42150</v>
      </c>
      <c r="Y110" t="s">
        <v>132</v>
      </c>
    </row>
    <row r="111" spans="1:25" ht="36" customHeight="1" x14ac:dyDescent="0.3">
      <c r="A111" s="142" t="s">
        <v>106</v>
      </c>
      <c r="B111" s="143" t="s">
        <v>299</v>
      </c>
      <c r="C111" s="144">
        <v>5374</v>
      </c>
      <c r="D111" s="149">
        <v>42041</v>
      </c>
      <c r="E111" s="149" t="s">
        <v>177</v>
      </c>
      <c r="F111" t="s">
        <v>170</v>
      </c>
      <c r="G111">
        <v>1</v>
      </c>
      <c r="H111">
        <v>1</v>
      </c>
      <c r="I111">
        <v>0</v>
      </c>
      <c r="J111">
        <v>0</v>
      </c>
      <c r="K111">
        <v>1</v>
      </c>
      <c r="L111" s="92">
        <v>0.5</v>
      </c>
      <c r="M111" s="289" t="s">
        <v>300</v>
      </c>
      <c r="N111" s="268"/>
      <c r="O111" s="268"/>
      <c r="P111" s="268"/>
      <c r="Q111" s="268"/>
      <c r="R111" s="268"/>
      <c r="S111" s="268"/>
      <c r="T111" s="268"/>
      <c r="U111" s="268"/>
      <c r="V111" s="269"/>
      <c r="W111" s="198" t="s">
        <v>289</v>
      </c>
      <c r="X111" s="93">
        <v>42150</v>
      </c>
      <c r="Y111" t="s">
        <v>132</v>
      </c>
    </row>
    <row r="112" spans="1:25" ht="36" customHeight="1" x14ac:dyDescent="0.3">
      <c r="A112" s="142" t="s">
        <v>210</v>
      </c>
      <c r="B112" s="143">
        <v>42150</v>
      </c>
      <c r="C112" s="144">
        <v>19197</v>
      </c>
      <c r="D112" s="149">
        <v>42016</v>
      </c>
      <c r="E112" s="149">
        <v>42137</v>
      </c>
      <c r="F112" t="s">
        <v>170</v>
      </c>
      <c r="G112">
        <v>9</v>
      </c>
      <c r="H112">
        <v>0</v>
      </c>
      <c r="I112">
        <v>0</v>
      </c>
      <c r="J112">
        <v>0</v>
      </c>
      <c r="K112">
        <v>0</v>
      </c>
      <c r="L112" s="92">
        <v>1</v>
      </c>
      <c r="M112" s="289" t="s">
        <v>301</v>
      </c>
      <c r="N112" s="268"/>
      <c r="O112" s="268"/>
      <c r="P112" s="268"/>
      <c r="Q112" s="268"/>
      <c r="R112" s="268"/>
      <c r="S112" s="268"/>
      <c r="T112" s="268"/>
      <c r="U112" s="268"/>
      <c r="V112" s="269"/>
      <c r="W112" s="198" t="s">
        <v>289</v>
      </c>
      <c r="X112" s="93">
        <v>42150</v>
      </c>
      <c r="Y112" t="s">
        <v>132</v>
      </c>
    </row>
    <row r="113" spans="1:25" ht="36" customHeight="1" x14ac:dyDescent="0.3">
      <c r="A113" s="142" t="s">
        <v>304</v>
      </c>
      <c r="B113" s="143" t="s">
        <v>304</v>
      </c>
      <c r="C113" s="144" t="s">
        <v>304</v>
      </c>
      <c r="D113" s="149" t="s">
        <v>304</v>
      </c>
      <c r="E113" s="149" t="s">
        <v>304</v>
      </c>
      <c r="F113" t="s">
        <v>170</v>
      </c>
      <c r="G113">
        <v>42</v>
      </c>
      <c r="H113">
        <v>4</v>
      </c>
      <c r="I113">
        <v>0</v>
      </c>
      <c r="J113">
        <v>0</v>
      </c>
      <c r="K113">
        <v>4</v>
      </c>
      <c r="L113" s="92">
        <v>0.91304347826086951</v>
      </c>
      <c r="M113" s="289" t="s">
        <v>304</v>
      </c>
      <c r="N113" s="268"/>
      <c r="O113" s="268"/>
      <c r="P113" s="268"/>
      <c r="Q113" s="268"/>
      <c r="R113" s="268"/>
      <c r="S113" s="268"/>
      <c r="T113" s="268"/>
      <c r="U113" s="268"/>
      <c r="V113" s="269"/>
      <c r="W113" s="198" t="s">
        <v>289</v>
      </c>
      <c r="X113" s="93">
        <v>42151</v>
      </c>
      <c r="Y113" t="s">
        <v>305</v>
      </c>
    </row>
    <row r="114" spans="1:25" ht="36" customHeight="1" x14ac:dyDescent="0.3">
      <c r="A114" s="142" t="s">
        <v>210</v>
      </c>
      <c r="B114" s="143">
        <v>42160</v>
      </c>
      <c r="C114" s="144">
        <v>55163</v>
      </c>
      <c r="D114" s="149">
        <v>42157</v>
      </c>
      <c r="E114" s="149" t="s">
        <v>177</v>
      </c>
      <c r="F114" t="s">
        <v>170</v>
      </c>
      <c r="G114">
        <v>15</v>
      </c>
      <c r="H114">
        <v>3</v>
      </c>
      <c r="I114">
        <v>0</v>
      </c>
      <c r="J114">
        <v>0</v>
      </c>
      <c r="K114">
        <v>3</v>
      </c>
      <c r="L114" s="92">
        <v>0</v>
      </c>
      <c r="M114" s="289" t="s">
        <v>306</v>
      </c>
      <c r="N114" s="268"/>
      <c r="O114" s="268"/>
      <c r="P114" s="268"/>
      <c r="Q114" s="268"/>
      <c r="R114" s="268"/>
      <c r="S114" s="268"/>
      <c r="T114" s="268"/>
      <c r="U114" s="268"/>
      <c r="V114" s="269"/>
      <c r="W114" s="198" t="s">
        <v>289</v>
      </c>
      <c r="X114" s="93">
        <v>42161</v>
      </c>
      <c r="Y114" t="s">
        <v>132</v>
      </c>
    </row>
    <row r="115" spans="1:25" ht="36" customHeight="1" x14ac:dyDescent="0.3">
      <c r="A115" s="142" t="s">
        <v>210</v>
      </c>
      <c r="B115" s="143">
        <v>42160</v>
      </c>
      <c r="C115" s="144">
        <v>88764</v>
      </c>
      <c r="D115" s="149">
        <v>42038</v>
      </c>
      <c r="E115" s="149" t="s">
        <v>177</v>
      </c>
      <c r="F115" t="s">
        <v>170</v>
      </c>
      <c r="G115">
        <v>12</v>
      </c>
      <c r="H115">
        <v>2</v>
      </c>
      <c r="I115">
        <v>0</v>
      </c>
      <c r="J115">
        <v>0</v>
      </c>
      <c r="K115">
        <v>2</v>
      </c>
      <c r="L115" s="92">
        <v>0.8571428571428571</v>
      </c>
      <c r="M115" s="289" t="s">
        <v>9</v>
      </c>
      <c r="N115" s="268"/>
      <c r="O115" s="268"/>
      <c r="P115" s="268"/>
      <c r="Q115" s="268"/>
      <c r="R115" s="268"/>
      <c r="S115" s="268"/>
      <c r="T115" s="268"/>
      <c r="U115" s="268"/>
      <c r="V115" s="269"/>
      <c r="W115" s="198" t="s">
        <v>289</v>
      </c>
      <c r="X115" s="93">
        <v>42161</v>
      </c>
      <c r="Y115" t="s">
        <v>132</v>
      </c>
    </row>
    <row r="116" spans="1:25" ht="36" customHeight="1" x14ac:dyDescent="0.3">
      <c r="A116" s="142" t="s">
        <v>106</v>
      </c>
      <c r="B116" s="143">
        <v>42160</v>
      </c>
      <c r="C116" s="144">
        <v>174325</v>
      </c>
      <c r="D116" s="149">
        <v>42158</v>
      </c>
      <c r="E116" s="149" t="s">
        <v>177</v>
      </c>
      <c r="F116" t="s">
        <v>170</v>
      </c>
      <c r="G116">
        <v>20</v>
      </c>
      <c r="H116">
        <v>1</v>
      </c>
      <c r="I116">
        <v>0</v>
      </c>
      <c r="J116">
        <v>0</v>
      </c>
      <c r="K116">
        <v>1</v>
      </c>
      <c r="L116" s="92">
        <v>0.95238095238095233</v>
      </c>
      <c r="M116" s="289" t="s">
        <v>9</v>
      </c>
      <c r="N116" s="268"/>
      <c r="O116" s="268"/>
      <c r="P116" s="268"/>
      <c r="Q116" s="268"/>
      <c r="R116" s="268"/>
      <c r="S116" s="268"/>
      <c r="T116" s="268"/>
      <c r="U116" s="268"/>
      <c r="V116" s="269"/>
      <c r="W116" s="198" t="s">
        <v>289</v>
      </c>
      <c r="X116" s="93">
        <v>42161</v>
      </c>
      <c r="Y116" t="s">
        <v>132</v>
      </c>
    </row>
    <row r="117" spans="1:25" ht="36" customHeight="1" x14ac:dyDescent="0.3">
      <c r="A117" s="142" t="s">
        <v>106</v>
      </c>
      <c r="B117" s="143">
        <v>42160</v>
      </c>
      <c r="C117" s="144">
        <v>57829</v>
      </c>
      <c r="D117" s="149">
        <v>42158</v>
      </c>
      <c r="E117" s="149" t="s">
        <v>177</v>
      </c>
      <c r="F117" t="s">
        <v>170</v>
      </c>
      <c r="G117">
        <v>20</v>
      </c>
      <c r="H117">
        <v>0</v>
      </c>
      <c r="I117">
        <v>0</v>
      </c>
      <c r="J117">
        <v>0</v>
      </c>
      <c r="K117">
        <v>0</v>
      </c>
      <c r="L117" s="92">
        <v>1</v>
      </c>
      <c r="M117" s="289" t="s">
        <v>306</v>
      </c>
      <c r="N117" s="268"/>
      <c r="O117" s="268"/>
      <c r="P117" s="268"/>
      <c r="Q117" s="268"/>
      <c r="R117" s="268"/>
      <c r="S117" s="268"/>
      <c r="T117" s="268"/>
      <c r="U117" s="268"/>
      <c r="V117" s="269"/>
      <c r="W117" s="198" t="s">
        <v>289</v>
      </c>
      <c r="X117" s="93">
        <v>42161</v>
      </c>
      <c r="Y117" t="s">
        <v>132</v>
      </c>
    </row>
    <row r="118" spans="1:25" ht="36" customHeight="1" x14ac:dyDescent="0.3">
      <c r="A118" s="142" t="s">
        <v>2</v>
      </c>
      <c r="B118" s="143">
        <v>42160</v>
      </c>
      <c r="C118" s="144">
        <v>100857</v>
      </c>
      <c r="D118" s="149">
        <v>42080</v>
      </c>
      <c r="E118" s="149">
        <v>42152</v>
      </c>
      <c r="F118" t="s">
        <v>170</v>
      </c>
      <c r="G118">
        <v>16</v>
      </c>
      <c r="H118">
        <v>1</v>
      </c>
      <c r="I118">
        <v>0</v>
      </c>
      <c r="J118">
        <v>0</v>
      </c>
      <c r="K118">
        <v>1</v>
      </c>
      <c r="L118" s="92">
        <v>0</v>
      </c>
      <c r="M118" s="289" t="s">
        <v>307</v>
      </c>
      <c r="N118" s="268"/>
      <c r="O118" s="268"/>
      <c r="P118" s="268"/>
      <c r="Q118" s="268"/>
      <c r="R118" s="268"/>
      <c r="S118" s="268"/>
      <c r="T118" s="268"/>
      <c r="U118" s="268"/>
      <c r="V118" s="269"/>
      <c r="W118" s="198" t="s">
        <v>289</v>
      </c>
      <c r="X118" s="93">
        <v>42161</v>
      </c>
      <c r="Y118" t="s">
        <v>132</v>
      </c>
    </row>
    <row r="119" spans="1:25" ht="36" customHeight="1" x14ac:dyDescent="0.3">
      <c r="A119" s="142" t="s">
        <v>2</v>
      </c>
      <c r="B119" s="143">
        <v>42160</v>
      </c>
      <c r="C119" s="144">
        <v>211458</v>
      </c>
      <c r="D119" s="149">
        <v>42100</v>
      </c>
      <c r="E119" s="149" t="s">
        <v>177</v>
      </c>
      <c r="F119" t="s">
        <v>170</v>
      </c>
      <c r="G119">
        <v>16</v>
      </c>
      <c r="H119">
        <v>1</v>
      </c>
      <c r="I119">
        <v>0</v>
      </c>
      <c r="J119">
        <v>0</v>
      </c>
      <c r="K119">
        <v>1</v>
      </c>
      <c r="L119" s="92">
        <v>0</v>
      </c>
      <c r="M119" s="289" t="s">
        <v>9</v>
      </c>
      <c r="N119" s="268"/>
      <c r="O119" s="268"/>
      <c r="P119" s="268"/>
      <c r="Q119" s="268"/>
      <c r="R119" s="268"/>
      <c r="S119" s="268"/>
      <c r="T119" s="268"/>
      <c r="U119" s="268"/>
      <c r="V119" s="269"/>
      <c r="W119" s="198" t="s">
        <v>289</v>
      </c>
      <c r="X119" s="93">
        <v>42161</v>
      </c>
      <c r="Y119" t="s">
        <v>132</v>
      </c>
    </row>
    <row r="120" spans="1:25" ht="36" customHeight="1" x14ac:dyDescent="0.3">
      <c r="A120" s="142" t="s">
        <v>172</v>
      </c>
      <c r="B120" s="143">
        <v>42160</v>
      </c>
      <c r="C120" s="144">
        <v>7393</v>
      </c>
      <c r="D120" s="149">
        <v>42135</v>
      </c>
      <c r="E120" s="149">
        <v>42158</v>
      </c>
      <c r="F120" t="s">
        <v>170</v>
      </c>
      <c r="G120">
        <v>18</v>
      </c>
      <c r="H120">
        <v>0</v>
      </c>
      <c r="I120">
        <v>0</v>
      </c>
      <c r="J120">
        <v>0</v>
      </c>
      <c r="K120">
        <v>0</v>
      </c>
      <c r="L120" s="92">
        <v>1</v>
      </c>
      <c r="M120" s="289" t="s">
        <v>170</v>
      </c>
      <c r="N120" s="268"/>
      <c r="O120" s="268"/>
      <c r="P120" s="268"/>
      <c r="Q120" s="268"/>
      <c r="R120" s="268"/>
      <c r="S120" s="268"/>
      <c r="T120" s="268"/>
      <c r="U120" s="268"/>
      <c r="V120" s="269"/>
      <c r="W120" s="198" t="s">
        <v>289</v>
      </c>
      <c r="X120" s="93">
        <v>42161</v>
      </c>
      <c r="Y120" t="s">
        <v>132</v>
      </c>
    </row>
    <row r="121" spans="1:25" ht="36" customHeight="1" x14ac:dyDescent="0.3">
      <c r="A121" s="142" t="s">
        <v>172</v>
      </c>
      <c r="B121" s="143">
        <v>42160</v>
      </c>
      <c r="C121" s="144">
        <v>207951</v>
      </c>
      <c r="D121" s="149">
        <v>42137</v>
      </c>
      <c r="E121" s="149" t="s">
        <v>308</v>
      </c>
      <c r="F121" t="s">
        <v>170</v>
      </c>
      <c r="G121">
        <v>16</v>
      </c>
      <c r="H121">
        <v>1</v>
      </c>
      <c r="I121">
        <v>0</v>
      </c>
      <c r="J121">
        <v>0</v>
      </c>
      <c r="K121">
        <v>1</v>
      </c>
      <c r="L121" s="92">
        <v>0.94117647058823528</v>
      </c>
      <c r="M121" s="289" t="s">
        <v>9</v>
      </c>
      <c r="N121" s="268"/>
      <c r="O121" s="268"/>
      <c r="P121" s="268"/>
      <c r="Q121" s="268"/>
      <c r="R121" s="268"/>
      <c r="S121" s="268"/>
      <c r="T121" s="268"/>
      <c r="U121" s="268"/>
      <c r="V121" s="269"/>
      <c r="W121" s="198" t="s">
        <v>289</v>
      </c>
      <c r="X121" s="93">
        <v>42161</v>
      </c>
      <c r="Y121" t="s">
        <v>132</v>
      </c>
    </row>
    <row r="122" spans="1:25" ht="36" customHeight="1" x14ac:dyDescent="0.3">
      <c r="A122" s="142" t="s">
        <v>157</v>
      </c>
      <c r="B122" s="143">
        <v>42160</v>
      </c>
      <c r="C122" s="144">
        <v>73936</v>
      </c>
      <c r="D122" s="149">
        <v>42157</v>
      </c>
      <c r="E122" s="149" t="s">
        <v>177</v>
      </c>
      <c r="G122">
        <v>18</v>
      </c>
      <c r="H122">
        <v>0</v>
      </c>
      <c r="I122">
        <v>0</v>
      </c>
      <c r="J122">
        <v>0</v>
      </c>
      <c r="K122">
        <v>0</v>
      </c>
      <c r="L122" s="92">
        <v>1</v>
      </c>
      <c r="M122" s="289" t="s">
        <v>9</v>
      </c>
      <c r="N122" s="268"/>
      <c r="O122" s="268"/>
      <c r="P122" s="268"/>
      <c r="Q122" s="268"/>
      <c r="R122" s="268"/>
      <c r="S122" s="268"/>
      <c r="T122" s="268"/>
      <c r="U122" s="268"/>
      <c r="V122" s="269"/>
      <c r="W122" s="198" t="s">
        <v>289</v>
      </c>
      <c r="X122" s="93">
        <v>42161</v>
      </c>
      <c r="Y122" t="s">
        <v>132</v>
      </c>
    </row>
    <row r="123" spans="1:25" ht="36" customHeight="1" x14ac:dyDescent="0.3">
      <c r="A123" s="142" t="s">
        <v>157</v>
      </c>
      <c r="B123" s="143">
        <v>42160</v>
      </c>
      <c r="C123" s="144">
        <v>8251</v>
      </c>
      <c r="D123" s="149">
        <v>42108</v>
      </c>
      <c r="E123" s="149" t="s">
        <v>177</v>
      </c>
      <c r="G123">
        <v>18</v>
      </c>
      <c r="H123">
        <v>0</v>
      </c>
      <c r="I123">
        <v>0</v>
      </c>
      <c r="J123">
        <v>0</v>
      </c>
      <c r="K123">
        <v>0</v>
      </c>
      <c r="L123" s="92">
        <v>1</v>
      </c>
      <c r="M123" s="289" t="s">
        <v>309</v>
      </c>
      <c r="N123" s="268"/>
      <c r="O123" s="268"/>
      <c r="P123" s="268"/>
      <c r="Q123" s="268"/>
      <c r="R123" s="268"/>
      <c r="S123" s="268"/>
      <c r="T123" s="268"/>
      <c r="U123" s="268"/>
      <c r="V123" s="269"/>
      <c r="W123" s="198" t="s">
        <v>289</v>
      </c>
      <c r="X123" s="93">
        <v>42161</v>
      </c>
      <c r="Y123" t="s">
        <v>132</v>
      </c>
    </row>
    <row r="124" spans="1:25" ht="36" customHeight="1" x14ac:dyDescent="0.3">
      <c r="A124" s="142" t="s">
        <v>169</v>
      </c>
      <c r="B124" s="143">
        <v>42160</v>
      </c>
      <c r="C124" s="144" t="s">
        <v>310</v>
      </c>
      <c r="D124" s="149">
        <v>42158</v>
      </c>
      <c r="E124" s="149">
        <v>42160</v>
      </c>
      <c r="G124">
        <v>0</v>
      </c>
      <c r="H124">
        <v>0</v>
      </c>
      <c r="I124">
        <v>0</v>
      </c>
      <c r="J124">
        <v>0</v>
      </c>
      <c r="K124">
        <v>0</v>
      </c>
      <c r="L124" s="92" t="e">
        <v>#DIV/0!</v>
      </c>
      <c r="M124" s="289" t="s">
        <v>310</v>
      </c>
      <c r="N124" s="268"/>
      <c r="O124" s="268"/>
      <c r="P124" s="268"/>
      <c r="Q124" s="268"/>
      <c r="R124" s="268"/>
      <c r="S124" s="268"/>
      <c r="T124" s="268"/>
      <c r="U124" s="268"/>
      <c r="V124" s="269"/>
      <c r="W124" s="198" t="s">
        <v>289</v>
      </c>
      <c r="X124" s="93">
        <v>42161</v>
      </c>
      <c r="Y124" t="s">
        <v>132</v>
      </c>
    </row>
    <row r="125" spans="1:25" ht="36" customHeight="1" x14ac:dyDescent="0.3">
      <c r="A125" s="142" t="s">
        <v>215</v>
      </c>
      <c r="B125" s="143">
        <v>42160</v>
      </c>
      <c r="C125" s="144">
        <v>2200558</v>
      </c>
      <c r="D125" s="149">
        <v>42158</v>
      </c>
      <c r="E125" s="149">
        <v>42160</v>
      </c>
      <c r="G125">
        <v>21</v>
      </c>
      <c r="H125">
        <v>2</v>
      </c>
      <c r="I125">
        <v>0</v>
      </c>
      <c r="J125">
        <v>0</v>
      </c>
      <c r="K125">
        <v>0</v>
      </c>
      <c r="L125" s="92">
        <v>1</v>
      </c>
      <c r="M125" s="289" t="s">
        <v>311</v>
      </c>
      <c r="N125" s="268"/>
      <c r="O125" s="268"/>
      <c r="P125" s="268"/>
      <c r="Q125" s="268"/>
      <c r="R125" s="268"/>
      <c r="S125" s="268"/>
      <c r="T125" s="268"/>
      <c r="U125" s="268"/>
      <c r="V125" s="269"/>
      <c r="W125" s="198" t="s">
        <v>289</v>
      </c>
      <c r="X125" s="93">
        <v>42161</v>
      </c>
      <c r="Y125" t="s">
        <v>132</v>
      </c>
    </row>
    <row r="126" spans="1:25" ht="36" customHeight="1" thickBot="1" x14ac:dyDescent="0.35">
      <c r="A126" s="234" t="s">
        <v>215</v>
      </c>
      <c r="B126" s="235">
        <v>42160</v>
      </c>
      <c r="C126" s="236">
        <v>2200558</v>
      </c>
      <c r="D126" s="237">
        <v>42158</v>
      </c>
      <c r="E126" s="237" t="s">
        <v>177</v>
      </c>
      <c r="G126">
        <v>20</v>
      </c>
      <c r="H126">
        <v>3</v>
      </c>
      <c r="I126">
        <v>0</v>
      </c>
      <c r="J126">
        <v>0</v>
      </c>
      <c r="K126">
        <v>0</v>
      </c>
      <c r="L126" s="92">
        <v>1</v>
      </c>
      <c r="M126" s="294" t="s">
        <v>311</v>
      </c>
      <c r="N126" s="295"/>
      <c r="O126" s="295"/>
      <c r="P126" s="295"/>
      <c r="Q126" s="295"/>
      <c r="R126" s="295"/>
      <c r="S126" s="295"/>
      <c r="T126" s="295"/>
      <c r="U126" s="295"/>
      <c r="V126" s="296"/>
      <c r="W126" s="238" t="s">
        <v>289</v>
      </c>
      <c r="X126" s="93">
        <v>42161</v>
      </c>
      <c r="Y126" t="s">
        <v>132</v>
      </c>
    </row>
    <row r="127" spans="1:25" s="68" customFormat="1" ht="36" customHeight="1" x14ac:dyDescent="0.3">
      <c r="A127" s="239" t="s">
        <v>91</v>
      </c>
      <c r="B127" s="240">
        <v>42160</v>
      </c>
      <c r="C127" s="241">
        <v>427</v>
      </c>
      <c r="D127" s="242">
        <v>42157</v>
      </c>
      <c r="E127" s="242">
        <v>42157</v>
      </c>
      <c r="G127" s="68">
        <v>18</v>
      </c>
      <c r="H127" s="68">
        <v>3</v>
      </c>
      <c r="I127" s="68">
        <v>0</v>
      </c>
      <c r="J127" s="68">
        <v>0</v>
      </c>
      <c r="K127" s="68">
        <v>3</v>
      </c>
      <c r="L127" s="69">
        <v>0.8571428571428571</v>
      </c>
      <c r="M127" s="297" t="s">
        <v>312</v>
      </c>
      <c r="N127" s="298"/>
      <c r="O127" s="298"/>
      <c r="P127" s="298"/>
      <c r="Q127" s="298"/>
      <c r="R127" s="298"/>
      <c r="S127" s="298"/>
      <c r="T127" s="298"/>
      <c r="U127" s="298"/>
      <c r="V127" s="299"/>
      <c r="W127" s="243" t="s">
        <v>289</v>
      </c>
      <c r="X127" s="70">
        <v>42163</v>
      </c>
      <c r="Y127" s="68" t="s">
        <v>313</v>
      </c>
    </row>
    <row r="128" spans="1:25" s="80" customFormat="1" ht="36" customHeight="1" thickBot="1" x14ac:dyDescent="0.35">
      <c r="A128" s="207" t="s">
        <v>220</v>
      </c>
      <c r="B128" s="208">
        <v>42160</v>
      </c>
      <c r="C128" s="209">
        <v>233051</v>
      </c>
      <c r="D128" s="80" t="s">
        <v>103</v>
      </c>
      <c r="E128" s="80" t="s">
        <v>103</v>
      </c>
      <c r="G128" s="80">
        <v>21</v>
      </c>
      <c r="H128" s="80">
        <v>1</v>
      </c>
      <c r="I128" s="80">
        <v>0</v>
      </c>
      <c r="J128" s="80">
        <v>0</v>
      </c>
      <c r="K128" s="80">
        <v>1</v>
      </c>
      <c r="L128" s="81">
        <v>0.95454545454545459</v>
      </c>
      <c r="M128" s="290" t="s">
        <v>306</v>
      </c>
      <c r="N128" s="287"/>
      <c r="O128" s="287"/>
      <c r="P128" s="287"/>
      <c r="Q128" s="287"/>
      <c r="R128" s="287"/>
      <c r="S128" s="287"/>
      <c r="T128" s="287"/>
      <c r="U128" s="287"/>
      <c r="V128" s="288"/>
      <c r="W128" s="211" t="s">
        <v>289</v>
      </c>
      <c r="X128" s="82">
        <v>42163</v>
      </c>
      <c r="Y128" s="80" t="s">
        <v>313</v>
      </c>
    </row>
    <row r="129" spans="1:25" s="73" customFormat="1" ht="36" customHeight="1" x14ac:dyDescent="0.3">
      <c r="A129" s="248" t="s">
        <v>91</v>
      </c>
      <c r="B129" s="143">
        <v>42170</v>
      </c>
      <c r="C129" s="144">
        <v>120429</v>
      </c>
      <c r="D129" s="149">
        <v>42139</v>
      </c>
      <c r="E129" s="149">
        <v>42165</v>
      </c>
      <c r="G129" s="73">
        <v>7</v>
      </c>
      <c r="H129" s="73">
        <v>2</v>
      </c>
      <c r="I129" s="73">
        <v>0</v>
      </c>
      <c r="J129" s="73">
        <v>0</v>
      </c>
      <c r="K129" s="73">
        <v>0</v>
      </c>
      <c r="L129" s="74">
        <v>1</v>
      </c>
      <c r="M129" s="289" t="s">
        <v>314</v>
      </c>
      <c r="N129" s="268"/>
      <c r="O129" s="268"/>
      <c r="P129" s="268"/>
      <c r="Q129" s="268"/>
      <c r="R129" s="268"/>
      <c r="S129" s="268"/>
      <c r="T129" s="268"/>
      <c r="U129" s="268"/>
      <c r="V129" s="269"/>
      <c r="W129" s="204" t="s">
        <v>289</v>
      </c>
      <c r="X129" s="75">
        <v>42170</v>
      </c>
      <c r="Y129" s="73" t="s">
        <v>138</v>
      </c>
    </row>
    <row r="130" spans="1:25" s="73" customFormat="1" ht="36" customHeight="1" x14ac:dyDescent="0.3">
      <c r="A130" s="248" t="s">
        <v>315</v>
      </c>
      <c r="B130" s="143">
        <v>42170</v>
      </c>
      <c r="C130" s="144">
        <v>4148</v>
      </c>
      <c r="D130" s="149">
        <v>42010</v>
      </c>
      <c r="E130" s="149">
        <v>42165</v>
      </c>
      <c r="G130" s="73">
        <v>10</v>
      </c>
      <c r="H130" s="73">
        <v>0</v>
      </c>
      <c r="I130" s="73">
        <v>0</v>
      </c>
      <c r="J130" s="73">
        <v>0</v>
      </c>
      <c r="K130" s="73">
        <v>0</v>
      </c>
      <c r="L130" s="74">
        <v>1</v>
      </c>
      <c r="M130" s="289" t="s">
        <v>316</v>
      </c>
      <c r="N130" s="268"/>
      <c r="O130" s="268"/>
      <c r="P130" s="268"/>
      <c r="Q130" s="268"/>
      <c r="R130" s="268"/>
      <c r="S130" s="268"/>
      <c r="T130" s="268"/>
      <c r="U130" s="268"/>
      <c r="V130" s="269"/>
      <c r="W130" s="198" t="s">
        <v>289</v>
      </c>
      <c r="X130" s="75">
        <v>42170</v>
      </c>
      <c r="Y130" s="73" t="s">
        <v>138</v>
      </c>
    </row>
    <row r="131" spans="1:25" s="73" customFormat="1" ht="36" customHeight="1" x14ac:dyDescent="0.3">
      <c r="A131" s="248" t="s">
        <v>317</v>
      </c>
      <c r="B131" s="143">
        <v>42170</v>
      </c>
      <c r="C131" s="144">
        <v>108239</v>
      </c>
      <c r="D131" s="149">
        <v>42152</v>
      </c>
      <c r="E131" s="73" t="s">
        <v>103</v>
      </c>
      <c r="G131" s="73">
        <v>8</v>
      </c>
      <c r="H131" s="73">
        <v>1</v>
      </c>
      <c r="I131" s="73">
        <v>0</v>
      </c>
      <c r="J131" s="73">
        <v>0</v>
      </c>
      <c r="K131" s="73">
        <v>0</v>
      </c>
      <c r="L131" s="74">
        <v>1</v>
      </c>
      <c r="M131" s="289" t="s">
        <v>318</v>
      </c>
      <c r="N131" s="268"/>
      <c r="O131" s="268"/>
      <c r="P131" s="268"/>
      <c r="Q131" s="268"/>
      <c r="R131" s="268"/>
      <c r="S131" s="268"/>
      <c r="T131" s="268"/>
      <c r="U131" s="268"/>
      <c r="V131" s="269"/>
      <c r="W131" s="198" t="s">
        <v>289</v>
      </c>
      <c r="X131" s="75">
        <v>42170</v>
      </c>
      <c r="Y131" s="73" t="s">
        <v>138</v>
      </c>
    </row>
    <row r="132" spans="1:25" s="73" customFormat="1" ht="36" customHeight="1" x14ac:dyDescent="0.3">
      <c r="A132" s="248" t="s">
        <v>156</v>
      </c>
      <c r="B132" s="143">
        <v>42170</v>
      </c>
      <c r="C132" s="144">
        <v>7963</v>
      </c>
      <c r="D132" s="149">
        <v>42139</v>
      </c>
      <c r="E132" s="249" t="s">
        <v>103</v>
      </c>
      <c r="G132" s="73">
        <v>5</v>
      </c>
      <c r="H132" s="73">
        <v>3</v>
      </c>
      <c r="I132" s="73">
        <v>0</v>
      </c>
      <c r="J132" s="73">
        <v>0</v>
      </c>
      <c r="K132" s="73">
        <v>0</v>
      </c>
      <c r="L132" s="74">
        <v>1</v>
      </c>
      <c r="M132" s="289" t="s">
        <v>319</v>
      </c>
      <c r="N132" s="268"/>
      <c r="O132" s="268"/>
      <c r="P132" s="268"/>
      <c r="Q132" s="268"/>
      <c r="R132" s="268"/>
      <c r="S132" s="268"/>
      <c r="T132" s="268"/>
      <c r="U132" s="268"/>
      <c r="V132" s="269"/>
      <c r="W132" s="198" t="s">
        <v>289</v>
      </c>
      <c r="X132" s="75">
        <v>42170</v>
      </c>
      <c r="Y132" s="73" t="s">
        <v>138</v>
      </c>
    </row>
    <row r="133" spans="1:25" s="73" customFormat="1" ht="36" customHeight="1" x14ac:dyDescent="0.3">
      <c r="A133" s="248" t="s">
        <v>106</v>
      </c>
      <c r="B133" s="143">
        <v>42170</v>
      </c>
      <c r="C133" s="144">
        <v>18145</v>
      </c>
      <c r="D133" s="149">
        <v>42053</v>
      </c>
      <c r="E133" s="249" t="s">
        <v>103</v>
      </c>
      <c r="G133" s="73">
        <v>11</v>
      </c>
      <c r="H133" s="73">
        <v>0</v>
      </c>
      <c r="I133" s="73">
        <v>0</v>
      </c>
      <c r="J133" s="73">
        <v>0</v>
      </c>
      <c r="K133" s="73">
        <v>0</v>
      </c>
      <c r="L133" s="74">
        <v>1</v>
      </c>
      <c r="M133" s="289" t="s">
        <v>320</v>
      </c>
      <c r="N133" s="268"/>
      <c r="O133" s="268"/>
      <c r="P133" s="268"/>
      <c r="Q133" s="268"/>
      <c r="R133" s="268"/>
      <c r="S133" s="268"/>
      <c r="T133" s="268"/>
      <c r="U133" s="268"/>
      <c r="V133" s="269"/>
      <c r="W133" s="198" t="s">
        <v>289</v>
      </c>
      <c r="X133" s="75">
        <v>42170</v>
      </c>
      <c r="Y133" s="73" t="s">
        <v>138</v>
      </c>
    </row>
    <row r="134" spans="1:25" s="73" customFormat="1" ht="36" customHeight="1" x14ac:dyDescent="0.3">
      <c r="A134" s="248" t="s">
        <v>172</v>
      </c>
      <c r="B134" s="143">
        <v>42170</v>
      </c>
      <c r="C134" s="144">
        <v>103883</v>
      </c>
      <c r="D134" s="149">
        <v>42158</v>
      </c>
      <c r="E134" s="249" t="s">
        <v>103</v>
      </c>
      <c r="G134" s="73">
        <v>10</v>
      </c>
      <c r="H134" s="73">
        <v>1</v>
      </c>
      <c r="I134" s="73">
        <v>0</v>
      </c>
      <c r="J134" s="73">
        <v>0</v>
      </c>
      <c r="K134" s="73">
        <v>0</v>
      </c>
      <c r="L134" s="74">
        <v>1</v>
      </c>
      <c r="M134" s="289" t="s">
        <v>321</v>
      </c>
      <c r="N134" s="268"/>
      <c r="O134" s="268"/>
      <c r="P134" s="268"/>
      <c r="Q134" s="268"/>
      <c r="R134" s="268"/>
      <c r="S134" s="268"/>
      <c r="T134" s="268"/>
      <c r="U134" s="268"/>
      <c r="V134" s="269"/>
      <c r="W134" s="198" t="s">
        <v>289</v>
      </c>
      <c r="X134" s="75">
        <v>42170</v>
      </c>
      <c r="Y134" s="73" t="s">
        <v>138</v>
      </c>
    </row>
    <row r="135" spans="1:25" s="73" customFormat="1" ht="36" customHeight="1" x14ac:dyDescent="0.3">
      <c r="A135" s="248" t="s">
        <v>322</v>
      </c>
      <c r="B135" s="143">
        <v>42170</v>
      </c>
      <c r="C135" s="144">
        <v>147706</v>
      </c>
      <c r="D135" s="149">
        <v>41988</v>
      </c>
      <c r="E135" s="249" t="s">
        <v>103</v>
      </c>
      <c r="G135" s="73">
        <v>10</v>
      </c>
      <c r="H135" s="73">
        <v>1</v>
      </c>
      <c r="I135" s="73">
        <v>0</v>
      </c>
      <c r="J135" s="73">
        <v>0</v>
      </c>
      <c r="K135" s="73">
        <v>0</v>
      </c>
      <c r="L135" s="74">
        <v>1</v>
      </c>
      <c r="M135" s="289" t="s">
        <v>323</v>
      </c>
      <c r="N135" s="268"/>
      <c r="O135" s="268"/>
      <c r="P135" s="268"/>
      <c r="Q135" s="268"/>
      <c r="R135" s="268"/>
      <c r="S135" s="268"/>
      <c r="T135" s="268"/>
      <c r="U135" s="268"/>
      <c r="V135" s="269"/>
      <c r="W135" s="198" t="s">
        <v>289</v>
      </c>
      <c r="X135" s="75">
        <v>42170</v>
      </c>
      <c r="Y135" s="73" t="s">
        <v>138</v>
      </c>
    </row>
    <row r="136" spans="1:25" s="73" customFormat="1" ht="36" customHeight="1" x14ac:dyDescent="0.3">
      <c r="A136" s="248" t="s">
        <v>157</v>
      </c>
      <c r="B136" s="143">
        <v>42170</v>
      </c>
      <c r="C136" s="144">
        <v>3577</v>
      </c>
      <c r="D136" s="149">
        <v>42153</v>
      </c>
      <c r="E136" s="249" t="s">
        <v>103</v>
      </c>
      <c r="G136" s="73">
        <v>11</v>
      </c>
      <c r="H136" s="73">
        <v>0</v>
      </c>
      <c r="I136" s="73">
        <v>0</v>
      </c>
      <c r="J136" s="73">
        <v>0</v>
      </c>
      <c r="K136" s="73">
        <v>0</v>
      </c>
      <c r="L136" s="74">
        <v>1</v>
      </c>
      <c r="M136" s="289" t="s">
        <v>324</v>
      </c>
      <c r="N136" s="268"/>
      <c r="O136" s="268"/>
      <c r="P136" s="268"/>
      <c r="Q136" s="268"/>
      <c r="R136" s="268"/>
      <c r="S136" s="268"/>
      <c r="T136" s="268"/>
      <c r="U136" s="268"/>
      <c r="V136" s="269"/>
      <c r="W136" s="198" t="s">
        <v>289</v>
      </c>
      <c r="X136" s="75">
        <v>42170</v>
      </c>
      <c r="Y136" s="73" t="s">
        <v>138</v>
      </c>
    </row>
    <row r="137" spans="1:25" s="80" customFormat="1" ht="36" customHeight="1" thickBot="1" x14ac:dyDescent="0.35">
      <c r="A137" s="207" t="s">
        <v>220</v>
      </c>
      <c r="B137" s="208">
        <v>42170</v>
      </c>
      <c r="C137" s="209">
        <v>120429</v>
      </c>
      <c r="D137" s="210">
        <v>42167</v>
      </c>
      <c r="E137" s="210" t="s">
        <v>196</v>
      </c>
      <c r="G137" s="80">
        <v>9</v>
      </c>
      <c r="H137" s="80">
        <v>2</v>
      </c>
      <c r="I137" s="80">
        <v>0</v>
      </c>
      <c r="J137" s="80">
        <v>0</v>
      </c>
      <c r="K137" s="80">
        <v>2</v>
      </c>
      <c r="L137" s="81">
        <v>0.81818181818181823</v>
      </c>
      <c r="M137" s="290" t="s">
        <v>9</v>
      </c>
      <c r="N137" s="287"/>
      <c r="O137" s="287"/>
      <c r="P137" s="287"/>
      <c r="Q137" s="287"/>
      <c r="R137" s="287"/>
      <c r="S137" s="287"/>
      <c r="T137" s="287"/>
      <c r="U137" s="287"/>
      <c r="V137" s="288"/>
      <c r="W137" s="211" t="s">
        <v>289</v>
      </c>
      <c r="X137" s="82">
        <v>42170</v>
      </c>
      <c r="Y137" s="80" t="s">
        <v>132</v>
      </c>
    </row>
    <row r="138" spans="1:25" ht="36" customHeight="1" x14ac:dyDescent="0.3">
      <c r="A138" s="244" t="s">
        <v>157</v>
      </c>
      <c r="B138" s="245">
        <v>42170</v>
      </c>
      <c r="C138" s="246">
        <v>3577</v>
      </c>
      <c r="D138" s="247">
        <v>42153</v>
      </c>
      <c r="E138" s="247">
        <v>42165</v>
      </c>
      <c r="G138">
        <v>18</v>
      </c>
      <c r="H138">
        <v>0</v>
      </c>
      <c r="I138">
        <v>0</v>
      </c>
      <c r="J138">
        <v>0</v>
      </c>
      <c r="K138">
        <v>0</v>
      </c>
      <c r="L138" s="92">
        <v>1</v>
      </c>
      <c r="M138" s="291" t="s">
        <v>9</v>
      </c>
      <c r="N138" s="292"/>
      <c r="O138" s="292"/>
      <c r="P138" s="292"/>
      <c r="Q138" s="292"/>
      <c r="R138" s="292"/>
      <c r="S138" s="292"/>
      <c r="T138" s="292"/>
      <c r="U138" s="292"/>
      <c r="V138" s="293"/>
      <c r="W138" s="204" t="s">
        <v>289</v>
      </c>
      <c r="X138" s="93">
        <v>42170</v>
      </c>
      <c r="Y138" t="s">
        <v>132</v>
      </c>
    </row>
    <row r="139" spans="1:25" ht="36" customHeight="1" x14ac:dyDescent="0.3">
      <c r="A139" s="142" t="s">
        <v>157</v>
      </c>
      <c r="B139" s="143">
        <v>42170</v>
      </c>
      <c r="C139" s="144">
        <v>3577</v>
      </c>
      <c r="D139" s="149">
        <v>42153</v>
      </c>
      <c r="E139" s="149">
        <v>42165</v>
      </c>
      <c r="G139">
        <v>11</v>
      </c>
      <c r="H139">
        <v>0</v>
      </c>
      <c r="I139">
        <v>0</v>
      </c>
      <c r="J139">
        <v>0</v>
      </c>
      <c r="K139">
        <v>0</v>
      </c>
      <c r="L139" s="92">
        <v>1</v>
      </c>
      <c r="M139" s="289" t="s">
        <v>325</v>
      </c>
      <c r="N139" s="268"/>
      <c r="O139" s="268"/>
      <c r="P139" s="268"/>
      <c r="Q139" s="268"/>
      <c r="R139" s="268"/>
      <c r="S139" s="268"/>
      <c r="T139" s="268"/>
      <c r="U139" s="268"/>
      <c r="V139" s="269"/>
      <c r="W139" s="198" t="s">
        <v>289</v>
      </c>
      <c r="X139" s="93">
        <v>42170</v>
      </c>
      <c r="Y139" t="s">
        <v>132</v>
      </c>
    </row>
    <row r="140" spans="1:25" ht="36" customHeight="1" x14ac:dyDescent="0.3">
      <c r="A140" s="142" t="s">
        <v>210</v>
      </c>
      <c r="B140" s="143">
        <v>42170</v>
      </c>
      <c r="C140" s="144">
        <v>108239</v>
      </c>
      <c r="D140" s="149">
        <v>42152</v>
      </c>
      <c r="E140" s="149" t="s">
        <v>196</v>
      </c>
      <c r="G140">
        <v>13</v>
      </c>
      <c r="H140">
        <v>1</v>
      </c>
      <c r="I140">
        <v>0</v>
      </c>
      <c r="J140">
        <v>0</v>
      </c>
      <c r="K140">
        <v>2</v>
      </c>
      <c r="L140" s="92">
        <v>0.8666666666666667</v>
      </c>
      <c r="M140" s="289" t="s">
        <v>326</v>
      </c>
      <c r="N140" s="268"/>
      <c r="O140" s="268"/>
      <c r="P140" s="268"/>
      <c r="Q140" s="268"/>
      <c r="R140" s="268"/>
      <c r="S140" s="268"/>
      <c r="T140" s="268"/>
      <c r="U140" s="268"/>
      <c r="V140" s="269"/>
      <c r="W140" s="198" t="s">
        <v>289</v>
      </c>
      <c r="X140" s="93">
        <v>42170</v>
      </c>
      <c r="Y140" t="s">
        <v>132</v>
      </c>
    </row>
    <row r="141" spans="1:25" ht="36" customHeight="1" x14ac:dyDescent="0.3">
      <c r="A141" s="142" t="s">
        <v>210</v>
      </c>
      <c r="B141" s="143">
        <v>42170</v>
      </c>
      <c r="C141" s="144">
        <v>108239</v>
      </c>
      <c r="D141" s="149">
        <v>42152</v>
      </c>
      <c r="E141" s="149" t="s">
        <v>196</v>
      </c>
      <c r="G141">
        <v>12</v>
      </c>
      <c r="H141">
        <v>2</v>
      </c>
      <c r="I141">
        <v>0</v>
      </c>
      <c r="J141">
        <v>0</v>
      </c>
      <c r="K141">
        <v>2</v>
      </c>
      <c r="L141" s="92">
        <v>0.8571428571428571</v>
      </c>
      <c r="M141" s="289" t="s">
        <v>327</v>
      </c>
      <c r="N141" s="268"/>
      <c r="O141" s="268"/>
      <c r="P141" s="268"/>
      <c r="Q141" s="268"/>
      <c r="R141" s="268"/>
      <c r="S141" s="268"/>
      <c r="T141" s="268"/>
      <c r="U141" s="268"/>
      <c r="V141" s="269"/>
      <c r="W141" s="198" t="s">
        <v>289</v>
      </c>
      <c r="X141" s="93">
        <v>42170</v>
      </c>
      <c r="Y141" t="s">
        <v>132</v>
      </c>
    </row>
    <row r="142" spans="1:25" ht="36" customHeight="1" x14ac:dyDescent="0.3">
      <c r="A142" s="142" t="s">
        <v>2</v>
      </c>
      <c r="B142" s="143">
        <v>42170</v>
      </c>
      <c r="C142" s="144">
        <v>4148</v>
      </c>
      <c r="D142" s="149">
        <v>42010</v>
      </c>
      <c r="E142" s="149">
        <v>42165</v>
      </c>
      <c r="G142">
        <v>10</v>
      </c>
      <c r="H142">
        <v>1</v>
      </c>
      <c r="I142">
        <v>0</v>
      </c>
      <c r="J142">
        <v>0</v>
      </c>
      <c r="K142">
        <v>1</v>
      </c>
      <c r="L142" s="92">
        <v>0.90909090909090906</v>
      </c>
      <c r="M142" s="289" t="s">
        <v>328</v>
      </c>
      <c r="N142" s="268"/>
      <c r="O142" s="268"/>
      <c r="P142" s="268"/>
      <c r="Q142" s="268"/>
      <c r="R142" s="268"/>
      <c r="S142" s="268"/>
      <c r="T142" s="268"/>
      <c r="U142" s="268"/>
      <c r="V142" s="269"/>
      <c r="W142" s="198" t="s">
        <v>289</v>
      </c>
      <c r="X142" s="93">
        <v>42170</v>
      </c>
      <c r="Y142" t="s">
        <v>132</v>
      </c>
    </row>
    <row r="143" spans="1:25" ht="36" customHeight="1" x14ac:dyDescent="0.3">
      <c r="A143" s="142" t="s">
        <v>2</v>
      </c>
      <c r="B143" s="143">
        <v>42170</v>
      </c>
      <c r="C143" s="144">
        <v>4148</v>
      </c>
      <c r="D143" s="149">
        <v>42010</v>
      </c>
      <c r="E143" s="149">
        <v>42165</v>
      </c>
      <c r="G143">
        <v>21</v>
      </c>
      <c r="H143">
        <v>2</v>
      </c>
      <c r="I143">
        <v>0</v>
      </c>
      <c r="J143">
        <v>0</v>
      </c>
      <c r="K143">
        <v>2</v>
      </c>
      <c r="L143" s="92">
        <v>0.91304347826086951</v>
      </c>
      <c r="M143" s="289" t="s">
        <v>329</v>
      </c>
      <c r="N143" s="268"/>
      <c r="O143" s="268"/>
      <c r="P143" s="268"/>
      <c r="Q143" s="268"/>
      <c r="R143" s="268"/>
      <c r="S143" s="268"/>
      <c r="T143" s="268"/>
      <c r="U143" s="268"/>
      <c r="V143" s="269"/>
      <c r="W143" s="198" t="s">
        <v>289</v>
      </c>
      <c r="X143" s="93">
        <v>42170</v>
      </c>
      <c r="Y143" t="s">
        <v>132</v>
      </c>
    </row>
    <row r="144" spans="1:25" ht="36" customHeight="1" x14ac:dyDescent="0.3">
      <c r="A144" s="142" t="s">
        <v>330</v>
      </c>
      <c r="B144" s="143">
        <v>42170</v>
      </c>
      <c r="C144" s="144">
        <v>7963</v>
      </c>
      <c r="D144" s="149">
        <v>42139</v>
      </c>
      <c r="E144" s="149" t="s">
        <v>177</v>
      </c>
      <c r="G144">
        <v>14</v>
      </c>
      <c r="H144">
        <v>4</v>
      </c>
      <c r="I144">
        <v>0</v>
      </c>
      <c r="J144">
        <v>0</v>
      </c>
      <c r="K144">
        <v>4</v>
      </c>
      <c r="L144" s="92">
        <v>0.77777777777777779</v>
      </c>
      <c r="M144" s="289" t="s">
        <v>331</v>
      </c>
      <c r="N144" s="268"/>
      <c r="O144" s="268"/>
      <c r="P144" s="268"/>
      <c r="Q144" s="268"/>
      <c r="R144" s="268"/>
      <c r="S144" s="268"/>
      <c r="T144" s="268"/>
      <c r="U144" s="268"/>
      <c r="V144" s="269"/>
      <c r="W144" s="198" t="s">
        <v>289</v>
      </c>
      <c r="X144" s="93">
        <v>42170</v>
      </c>
      <c r="Y144" t="s">
        <v>132</v>
      </c>
    </row>
    <row r="145" spans="1:25" ht="36" customHeight="1" x14ac:dyDescent="0.3">
      <c r="A145" s="142" t="s">
        <v>156</v>
      </c>
      <c r="B145" s="143">
        <v>42170</v>
      </c>
      <c r="C145" s="144">
        <v>7963</v>
      </c>
      <c r="D145" s="149">
        <v>42158</v>
      </c>
      <c r="E145" s="149" t="s">
        <v>177</v>
      </c>
      <c r="G145">
        <v>14</v>
      </c>
      <c r="H145">
        <v>0</v>
      </c>
      <c r="I145">
        <v>0</v>
      </c>
      <c r="J145">
        <v>0</v>
      </c>
      <c r="K145">
        <v>0</v>
      </c>
      <c r="L145" s="92">
        <v>1</v>
      </c>
      <c r="M145" s="289" t="s">
        <v>174</v>
      </c>
      <c r="N145" s="268"/>
      <c r="O145" s="268"/>
      <c r="P145" s="268"/>
      <c r="Q145" s="268"/>
      <c r="R145" s="268"/>
      <c r="S145" s="268"/>
      <c r="T145" s="268"/>
      <c r="U145" s="268"/>
      <c r="V145" s="269"/>
      <c r="W145" s="198" t="s">
        <v>289</v>
      </c>
      <c r="X145" s="93">
        <v>42170</v>
      </c>
      <c r="Y145" t="s">
        <v>132</v>
      </c>
    </row>
    <row r="146" spans="1:25" ht="36" customHeight="1" x14ac:dyDescent="0.3">
      <c r="A146" s="142" t="s">
        <v>220</v>
      </c>
      <c r="B146" s="143">
        <v>42170</v>
      </c>
      <c r="C146" s="144" t="s">
        <v>174</v>
      </c>
      <c r="D146" t="s">
        <v>103</v>
      </c>
      <c r="E146" t="s">
        <v>103</v>
      </c>
      <c r="G146">
        <v>0</v>
      </c>
      <c r="H146">
        <v>0</v>
      </c>
      <c r="I146">
        <v>0</v>
      </c>
      <c r="J146">
        <v>0</v>
      </c>
      <c r="K146">
        <v>0</v>
      </c>
      <c r="L146" s="92" t="e">
        <v>#DIV/0!</v>
      </c>
      <c r="M146" s="327" t="s">
        <v>333</v>
      </c>
      <c r="N146" s="327"/>
      <c r="O146" s="327"/>
      <c r="P146" s="327"/>
      <c r="Q146" s="327"/>
      <c r="R146" s="327"/>
      <c r="S146" s="327"/>
      <c r="T146" s="327"/>
      <c r="U146" s="327"/>
      <c r="V146" s="328"/>
      <c r="W146" s="198" t="s">
        <v>289</v>
      </c>
      <c r="X146" s="93">
        <v>42170</v>
      </c>
      <c r="Y146" t="s">
        <v>132</v>
      </c>
    </row>
    <row r="147" spans="1:25" ht="36" customHeight="1" x14ac:dyDescent="0.3">
      <c r="A147" s="142" t="s">
        <v>172</v>
      </c>
      <c r="B147" s="143">
        <v>42170</v>
      </c>
      <c r="C147" s="144">
        <v>103883</v>
      </c>
      <c r="D147" t="s">
        <v>103</v>
      </c>
      <c r="E147" t="s">
        <v>103</v>
      </c>
      <c r="G147">
        <v>14</v>
      </c>
      <c r="H147">
        <v>6</v>
      </c>
      <c r="I147">
        <v>0</v>
      </c>
      <c r="J147">
        <v>1</v>
      </c>
      <c r="K147">
        <v>5</v>
      </c>
      <c r="L147" s="92">
        <v>0.73684210526315785</v>
      </c>
      <c r="M147" s="289" t="s">
        <v>332</v>
      </c>
      <c r="N147" s="268"/>
      <c r="O147" s="268"/>
      <c r="P147" s="268"/>
      <c r="Q147" s="268"/>
      <c r="R147" s="268"/>
      <c r="S147" s="268"/>
      <c r="T147" s="268"/>
      <c r="U147" s="268"/>
      <c r="V147" s="269"/>
      <c r="W147" s="198" t="s">
        <v>289</v>
      </c>
      <c r="X147" s="93">
        <v>42170</v>
      </c>
      <c r="Y147" t="s">
        <v>132</v>
      </c>
    </row>
    <row r="148" spans="1:25" ht="36" customHeight="1" x14ac:dyDescent="0.3">
      <c r="A148" s="142" t="s">
        <v>172</v>
      </c>
      <c r="B148" s="143">
        <v>42170</v>
      </c>
      <c r="C148" s="144">
        <v>103883</v>
      </c>
      <c r="D148" s="149">
        <v>42158</v>
      </c>
      <c r="E148" s="149" t="s">
        <v>177</v>
      </c>
      <c r="G148">
        <v>10</v>
      </c>
      <c r="H148">
        <v>1</v>
      </c>
      <c r="I148">
        <v>0</v>
      </c>
      <c r="J148">
        <v>0</v>
      </c>
      <c r="K148">
        <v>1</v>
      </c>
      <c r="L148" s="92">
        <v>0.90909090909090906</v>
      </c>
      <c r="M148" s="289" t="s">
        <v>334</v>
      </c>
      <c r="N148" s="268"/>
      <c r="O148" s="268"/>
      <c r="P148" s="268"/>
      <c r="Q148" s="268"/>
      <c r="R148" s="268"/>
      <c r="S148" s="268"/>
      <c r="T148" s="268"/>
      <c r="U148" s="268"/>
      <c r="V148" s="269"/>
      <c r="W148" s="198" t="s">
        <v>289</v>
      </c>
      <c r="X148" s="93">
        <v>42170</v>
      </c>
      <c r="Y148" t="s">
        <v>132</v>
      </c>
    </row>
    <row r="149" spans="1:25" ht="36" customHeight="1" x14ac:dyDescent="0.3">
      <c r="A149" s="142" t="s">
        <v>106</v>
      </c>
      <c r="B149" s="143">
        <v>42170</v>
      </c>
      <c r="C149" s="144">
        <v>18145</v>
      </c>
      <c r="D149" s="149">
        <v>42053</v>
      </c>
      <c r="E149" s="149" t="s">
        <v>177</v>
      </c>
      <c r="G149">
        <v>18</v>
      </c>
      <c r="H149">
        <v>1</v>
      </c>
      <c r="I149">
        <v>0</v>
      </c>
      <c r="J149">
        <v>0</v>
      </c>
      <c r="K149">
        <v>1</v>
      </c>
      <c r="L149" s="92">
        <v>0.94736842105263153</v>
      </c>
      <c r="M149" s="289" t="s">
        <v>335</v>
      </c>
      <c r="N149" s="268"/>
      <c r="O149" s="268"/>
      <c r="P149" s="268"/>
      <c r="Q149" s="268"/>
      <c r="R149" s="268"/>
      <c r="S149" s="268"/>
      <c r="T149" s="268"/>
      <c r="U149" s="268"/>
      <c r="V149" s="269"/>
      <c r="W149" s="198" t="s">
        <v>289</v>
      </c>
      <c r="X149" s="93">
        <v>42170</v>
      </c>
      <c r="Y149" t="s">
        <v>132</v>
      </c>
    </row>
    <row r="150" spans="1:25" ht="36" customHeight="1" x14ac:dyDescent="0.3">
      <c r="A150" s="142" t="s">
        <v>106</v>
      </c>
      <c r="B150" s="143">
        <v>42170</v>
      </c>
      <c r="C150" s="144">
        <v>18145</v>
      </c>
      <c r="D150" s="149">
        <v>42053</v>
      </c>
      <c r="E150" s="149" t="s">
        <v>177</v>
      </c>
      <c r="G150">
        <v>11</v>
      </c>
      <c r="H150">
        <v>0</v>
      </c>
      <c r="I150">
        <v>0</v>
      </c>
      <c r="J150">
        <v>0</v>
      </c>
      <c r="K150">
        <v>0</v>
      </c>
      <c r="L150" s="92">
        <v>1</v>
      </c>
      <c r="M150" s="289" t="s">
        <v>334</v>
      </c>
      <c r="N150" s="268"/>
      <c r="O150" s="268"/>
      <c r="P150" s="268"/>
      <c r="Q150" s="268"/>
      <c r="R150" s="268"/>
      <c r="S150" s="268"/>
      <c r="T150" s="268"/>
      <c r="U150" s="268"/>
      <c r="V150" s="269"/>
      <c r="W150" s="198" t="s">
        <v>289</v>
      </c>
      <c r="X150" s="93">
        <v>42170</v>
      </c>
      <c r="Y150" t="s">
        <v>132</v>
      </c>
    </row>
    <row r="151" spans="1:25" ht="36" customHeight="1" x14ac:dyDescent="0.3">
      <c r="A151" s="142" t="s">
        <v>223</v>
      </c>
      <c r="B151" s="143">
        <v>42170</v>
      </c>
      <c r="C151" s="144">
        <v>147706</v>
      </c>
      <c r="D151" s="149">
        <v>42353</v>
      </c>
      <c r="E151" s="149" t="s">
        <v>177</v>
      </c>
      <c r="G151">
        <v>15</v>
      </c>
      <c r="H151">
        <v>1</v>
      </c>
      <c r="I151">
        <v>0</v>
      </c>
      <c r="J151">
        <v>0</v>
      </c>
      <c r="K151">
        <v>1</v>
      </c>
      <c r="L151" s="92">
        <v>0</v>
      </c>
      <c r="M151" s="289" t="s">
        <v>336</v>
      </c>
      <c r="N151" s="268"/>
      <c r="O151" s="268"/>
      <c r="P151" s="268"/>
      <c r="Q151" s="268"/>
      <c r="R151" s="268"/>
      <c r="S151" s="268"/>
      <c r="T151" s="268"/>
      <c r="U151" s="268"/>
      <c r="V151" s="269"/>
      <c r="W151" s="198" t="s">
        <v>289</v>
      </c>
      <c r="X151" s="93">
        <v>42170</v>
      </c>
      <c r="Y151" t="s">
        <v>132</v>
      </c>
    </row>
    <row r="152" spans="1:25" s="80" customFormat="1" ht="36" customHeight="1" thickBot="1" x14ac:dyDescent="0.35">
      <c r="A152" s="250" t="s">
        <v>223</v>
      </c>
      <c r="B152" s="208">
        <v>42170</v>
      </c>
      <c r="C152" s="209">
        <v>147706</v>
      </c>
      <c r="D152" s="210">
        <v>42353</v>
      </c>
      <c r="E152" s="210" t="s">
        <v>177</v>
      </c>
      <c r="G152" s="80">
        <v>9</v>
      </c>
      <c r="H152" s="80">
        <v>0</v>
      </c>
      <c r="I152" s="80">
        <v>0</v>
      </c>
      <c r="J152" s="80">
        <v>0</v>
      </c>
      <c r="K152" s="80">
        <v>0</v>
      </c>
      <c r="L152" s="81">
        <v>1</v>
      </c>
      <c r="M152" s="290" t="s">
        <v>334</v>
      </c>
      <c r="N152" s="287"/>
      <c r="O152" s="287"/>
      <c r="P152" s="287"/>
      <c r="Q152" s="287"/>
      <c r="R152" s="287"/>
      <c r="S152" s="287"/>
      <c r="T152" s="287"/>
      <c r="U152" s="287"/>
      <c r="V152" s="288"/>
      <c r="W152" s="211" t="s">
        <v>289</v>
      </c>
      <c r="X152" s="82">
        <v>42170</v>
      </c>
      <c r="Y152" s="80" t="s">
        <v>132</v>
      </c>
    </row>
    <row r="153" spans="1:25" ht="36" customHeight="1" x14ac:dyDescent="0.3">
      <c r="A153" s="244" t="s">
        <v>172</v>
      </c>
      <c r="B153" s="245">
        <v>42177</v>
      </c>
      <c r="C153" s="246">
        <v>90912</v>
      </c>
      <c r="D153" s="247">
        <v>42167</v>
      </c>
      <c r="E153" s="247">
        <v>42173</v>
      </c>
      <c r="G153">
        <v>20</v>
      </c>
      <c r="H153">
        <v>0</v>
      </c>
      <c r="I153">
        <v>0</v>
      </c>
      <c r="J153">
        <v>0</v>
      </c>
      <c r="K153">
        <v>0</v>
      </c>
      <c r="L153" s="92">
        <v>1</v>
      </c>
      <c r="M153" s="291" t="s">
        <v>9</v>
      </c>
      <c r="N153" s="292"/>
      <c r="O153" s="292"/>
      <c r="P153" s="292"/>
      <c r="Q153" s="292"/>
      <c r="R153" s="292"/>
      <c r="S153" s="292"/>
      <c r="T153" s="292"/>
      <c r="U153" s="292"/>
      <c r="V153" s="293"/>
      <c r="W153" s="204" t="s">
        <v>289</v>
      </c>
      <c r="X153" s="93">
        <v>42177</v>
      </c>
      <c r="Y153" t="s">
        <v>132</v>
      </c>
    </row>
    <row r="154" spans="1:25" ht="36" customHeight="1" x14ac:dyDescent="0.3">
      <c r="A154" s="142" t="s">
        <v>172</v>
      </c>
      <c r="B154" s="143">
        <v>42157</v>
      </c>
      <c r="C154" s="144">
        <v>26119</v>
      </c>
      <c r="D154" s="149">
        <v>42158</v>
      </c>
      <c r="E154" s="149" t="s">
        <v>177</v>
      </c>
      <c r="G154">
        <v>19</v>
      </c>
      <c r="H154">
        <v>2</v>
      </c>
      <c r="I154">
        <v>0</v>
      </c>
      <c r="J154">
        <v>0</v>
      </c>
      <c r="K154">
        <v>2</v>
      </c>
      <c r="L154" s="92">
        <v>0.90476190476190477</v>
      </c>
      <c r="M154" s="289" t="s">
        <v>9</v>
      </c>
      <c r="N154" s="268"/>
      <c r="O154" s="268"/>
      <c r="P154" s="268"/>
      <c r="Q154" s="268"/>
      <c r="R154" s="268"/>
      <c r="S154" s="268"/>
      <c r="T154" s="268"/>
      <c r="U154" s="268"/>
      <c r="V154" s="269"/>
      <c r="W154" s="198" t="s">
        <v>289</v>
      </c>
      <c r="X154" s="93">
        <v>42177</v>
      </c>
      <c r="Y154" t="s">
        <v>132</v>
      </c>
    </row>
    <row r="155" spans="1:25" ht="36" customHeight="1" x14ac:dyDescent="0.3">
      <c r="A155" s="142" t="s">
        <v>157</v>
      </c>
      <c r="B155" s="143">
        <v>42177</v>
      </c>
      <c r="C155" s="144">
        <v>67054</v>
      </c>
      <c r="D155" s="149">
        <v>42135</v>
      </c>
      <c r="E155" s="149" t="s">
        <v>177</v>
      </c>
      <c r="G155">
        <v>21</v>
      </c>
      <c r="H155">
        <v>0</v>
      </c>
      <c r="I155">
        <v>0</v>
      </c>
      <c r="J155">
        <v>0</v>
      </c>
      <c r="K155">
        <v>0</v>
      </c>
      <c r="L155" s="92">
        <v>1</v>
      </c>
      <c r="M155" s="289" t="s">
        <v>9</v>
      </c>
      <c r="N155" s="268"/>
      <c r="O155" s="268"/>
      <c r="P155" s="268"/>
      <c r="Q155" s="268"/>
      <c r="R155" s="268"/>
      <c r="S155" s="268"/>
      <c r="T155" s="268"/>
      <c r="U155" s="268"/>
      <c r="V155" s="269"/>
      <c r="W155" s="198" t="s">
        <v>289</v>
      </c>
      <c r="X155" s="93">
        <v>42177</v>
      </c>
      <c r="Y155" t="s">
        <v>132</v>
      </c>
    </row>
    <row r="156" spans="1:25" ht="36" customHeight="1" x14ac:dyDescent="0.3">
      <c r="A156" s="142" t="s">
        <v>157</v>
      </c>
      <c r="B156" s="143">
        <v>42177</v>
      </c>
      <c r="C156" s="144">
        <v>17272</v>
      </c>
      <c r="D156" s="149">
        <v>42172</v>
      </c>
      <c r="E156" s="149" t="s">
        <v>177</v>
      </c>
      <c r="G156">
        <v>19</v>
      </c>
      <c r="H156">
        <v>0</v>
      </c>
      <c r="I156">
        <v>0</v>
      </c>
      <c r="J156">
        <v>0</v>
      </c>
      <c r="K156">
        <v>0</v>
      </c>
      <c r="L156" s="92">
        <v>1</v>
      </c>
      <c r="M156" s="289" t="s">
        <v>9</v>
      </c>
      <c r="N156" s="268"/>
      <c r="O156" s="268"/>
      <c r="P156" s="268"/>
      <c r="Q156" s="268"/>
      <c r="R156" s="268"/>
      <c r="S156" s="268"/>
      <c r="T156" s="268"/>
      <c r="U156" s="268"/>
      <c r="V156" s="269"/>
      <c r="W156" s="198" t="s">
        <v>289</v>
      </c>
      <c r="X156" s="93">
        <v>42177</v>
      </c>
      <c r="Y156" t="s">
        <v>132</v>
      </c>
    </row>
    <row r="157" spans="1:25" ht="36" customHeight="1" x14ac:dyDescent="0.3">
      <c r="A157" s="142" t="s">
        <v>156</v>
      </c>
      <c r="B157" s="143">
        <v>42177</v>
      </c>
      <c r="C157" s="144">
        <v>62006</v>
      </c>
      <c r="D157" s="149">
        <v>42163</v>
      </c>
      <c r="E157" s="149">
        <v>42173</v>
      </c>
      <c r="G157">
        <v>14</v>
      </c>
      <c r="H157">
        <v>1</v>
      </c>
      <c r="I157">
        <v>0</v>
      </c>
      <c r="J157">
        <v>0</v>
      </c>
      <c r="K157">
        <v>1</v>
      </c>
      <c r="L157" s="92">
        <v>0.93333333333333335</v>
      </c>
      <c r="M157" s="289" t="s">
        <v>338</v>
      </c>
      <c r="N157" s="268"/>
      <c r="O157" s="268"/>
      <c r="P157" s="268"/>
      <c r="Q157" s="268"/>
      <c r="R157" s="268"/>
      <c r="S157" s="268"/>
      <c r="T157" s="268"/>
      <c r="U157" s="268"/>
      <c r="V157" s="269"/>
      <c r="W157" s="198" t="s">
        <v>289</v>
      </c>
      <c r="X157" s="93">
        <v>42177</v>
      </c>
      <c r="Y157" t="s">
        <v>132</v>
      </c>
    </row>
    <row r="158" spans="1:25" ht="36" customHeight="1" x14ac:dyDescent="0.3">
      <c r="A158" s="142" t="s">
        <v>156</v>
      </c>
      <c r="B158" s="143">
        <v>42177</v>
      </c>
      <c r="C158" s="144">
        <v>128595</v>
      </c>
      <c r="D158" s="149">
        <v>42158</v>
      </c>
      <c r="E158" s="149" t="s">
        <v>177</v>
      </c>
      <c r="G158">
        <v>13</v>
      </c>
      <c r="H158">
        <v>2</v>
      </c>
      <c r="I158">
        <v>0</v>
      </c>
      <c r="J158">
        <v>0</v>
      </c>
      <c r="K158">
        <v>2</v>
      </c>
      <c r="L158" s="92">
        <v>0.8666666666666667</v>
      </c>
      <c r="M158" s="289" t="s">
        <v>339</v>
      </c>
      <c r="N158" s="268"/>
      <c r="O158" s="268"/>
      <c r="P158" s="268"/>
      <c r="Q158" s="268"/>
      <c r="R158" s="268"/>
      <c r="S158" s="268"/>
      <c r="T158" s="268"/>
      <c r="U158" s="268"/>
      <c r="V158" s="269"/>
      <c r="W158" s="198" t="s">
        <v>289</v>
      </c>
      <c r="X158" s="93">
        <v>42177</v>
      </c>
      <c r="Y158" t="s">
        <v>132</v>
      </c>
    </row>
    <row r="159" spans="1:25" ht="36" customHeight="1" x14ac:dyDescent="0.3">
      <c r="A159" s="142" t="s">
        <v>106</v>
      </c>
      <c r="B159" s="143">
        <v>42177</v>
      </c>
      <c r="C159" s="144">
        <v>37456</v>
      </c>
      <c r="D159" s="149">
        <v>42167</v>
      </c>
      <c r="E159" s="149" t="s">
        <v>177</v>
      </c>
      <c r="G159">
        <v>19</v>
      </c>
      <c r="H159">
        <v>0</v>
      </c>
      <c r="I159">
        <v>0</v>
      </c>
      <c r="J159">
        <v>0</v>
      </c>
      <c r="K159">
        <v>0</v>
      </c>
      <c r="L159" s="92">
        <v>1</v>
      </c>
      <c r="M159" s="289" t="s">
        <v>9</v>
      </c>
      <c r="N159" s="268"/>
      <c r="O159" s="268"/>
      <c r="P159" s="268"/>
      <c r="Q159" s="268"/>
      <c r="R159" s="268"/>
      <c r="S159" s="268"/>
      <c r="T159" s="268"/>
      <c r="U159" s="268"/>
      <c r="V159" s="269"/>
      <c r="W159" s="198" t="s">
        <v>289</v>
      </c>
      <c r="X159" s="93">
        <v>42177</v>
      </c>
      <c r="Y159" t="s">
        <v>132</v>
      </c>
    </row>
    <row r="160" spans="1:25" ht="36" customHeight="1" x14ac:dyDescent="0.3">
      <c r="A160" s="142" t="s">
        <v>106</v>
      </c>
      <c r="B160" s="143">
        <v>42177</v>
      </c>
      <c r="C160" s="144">
        <v>37456</v>
      </c>
      <c r="D160" s="149">
        <v>42167</v>
      </c>
      <c r="E160" s="149" t="s">
        <v>177</v>
      </c>
      <c r="G160">
        <v>11</v>
      </c>
      <c r="H160">
        <v>0</v>
      </c>
      <c r="I160">
        <v>0</v>
      </c>
      <c r="J160">
        <v>0</v>
      </c>
      <c r="K160">
        <v>0</v>
      </c>
      <c r="L160" s="92">
        <v>1</v>
      </c>
      <c r="M160" s="289" t="s">
        <v>9</v>
      </c>
      <c r="N160" s="268"/>
      <c r="O160" s="268"/>
      <c r="P160" s="268"/>
      <c r="Q160" s="268"/>
      <c r="R160" s="268"/>
      <c r="S160" s="268"/>
      <c r="T160" s="268"/>
      <c r="U160" s="268"/>
      <c r="V160" s="269"/>
      <c r="W160" s="198" t="s">
        <v>289</v>
      </c>
      <c r="X160" s="93">
        <v>42177</v>
      </c>
      <c r="Y160" t="s">
        <v>132</v>
      </c>
    </row>
    <row r="161" spans="1:25" ht="36" customHeight="1" x14ac:dyDescent="0.3">
      <c r="A161" s="142" t="s">
        <v>220</v>
      </c>
      <c r="B161" s="143">
        <v>42177</v>
      </c>
      <c r="C161" s="144" t="s">
        <v>174</v>
      </c>
      <c r="D161" s="149">
        <v>42157</v>
      </c>
      <c r="E161" s="149" t="s">
        <v>177</v>
      </c>
      <c r="G161">
        <v>0</v>
      </c>
      <c r="H161">
        <v>0</v>
      </c>
      <c r="I161">
        <v>0</v>
      </c>
      <c r="J161">
        <v>0</v>
      </c>
      <c r="K161">
        <v>0</v>
      </c>
      <c r="L161" s="92" t="e">
        <v>#DIV/0!</v>
      </c>
      <c r="M161" s="289" t="s">
        <v>174</v>
      </c>
      <c r="N161" s="268"/>
      <c r="O161" s="268"/>
      <c r="P161" s="268"/>
      <c r="Q161" s="268"/>
      <c r="R161" s="268"/>
      <c r="S161" s="268"/>
      <c r="T161" s="268"/>
      <c r="U161" s="268"/>
      <c r="V161" s="269"/>
      <c r="W161" s="198" t="s">
        <v>289</v>
      </c>
      <c r="X161" s="93">
        <v>42177</v>
      </c>
      <c r="Y161" t="s">
        <v>132</v>
      </c>
    </row>
    <row r="162" spans="1:25" ht="36" customHeight="1" x14ac:dyDescent="0.3">
      <c r="A162" s="142" t="s">
        <v>210</v>
      </c>
      <c r="B162" s="143">
        <v>42177</v>
      </c>
      <c r="C162" s="144">
        <v>9779</v>
      </c>
      <c r="D162" s="149">
        <v>42114</v>
      </c>
      <c r="E162" s="149" t="s">
        <v>177</v>
      </c>
      <c r="G162">
        <v>19</v>
      </c>
      <c r="H162">
        <v>0</v>
      </c>
      <c r="I162">
        <v>0</v>
      </c>
      <c r="J162">
        <v>0</v>
      </c>
      <c r="K162">
        <v>0</v>
      </c>
      <c r="L162" s="92">
        <v>1</v>
      </c>
      <c r="M162" s="289" t="s">
        <v>9</v>
      </c>
      <c r="N162" s="268"/>
      <c r="O162" s="268"/>
      <c r="P162" s="268"/>
      <c r="Q162" s="268"/>
      <c r="R162" s="268"/>
      <c r="S162" s="268"/>
      <c r="T162" s="268"/>
      <c r="U162" s="268"/>
      <c r="V162" s="269"/>
      <c r="W162" s="198" t="s">
        <v>289</v>
      </c>
      <c r="X162" s="93">
        <v>42177</v>
      </c>
      <c r="Y162" t="s">
        <v>132</v>
      </c>
    </row>
    <row r="163" spans="1:25" ht="36" customHeight="1" x14ac:dyDescent="0.3">
      <c r="A163" s="142" t="s">
        <v>210</v>
      </c>
      <c r="B163" s="143">
        <v>42177</v>
      </c>
      <c r="C163" s="144">
        <v>30385</v>
      </c>
      <c r="D163" s="149">
        <v>42114</v>
      </c>
      <c r="E163" s="149" t="s">
        <v>177</v>
      </c>
      <c r="G163">
        <v>11</v>
      </c>
      <c r="H163">
        <v>0</v>
      </c>
      <c r="I163">
        <v>0</v>
      </c>
      <c r="J163">
        <v>0</v>
      </c>
      <c r="K163">
        <v>0</v>
      </c>
      <c r="L163" s="92">
        <v>1</v>
      </c>
      <c r="M163" s="289" t="s">
        <v>9</v>
      </c>
      <c r="N163" s="268"/>
      <c r="O163" s="268"/>
      <c r="P163" s="268"/>
      <c r="Q163" s="268"/>
      <c r="R163" s="268"/>
      <c r="S163" s="268"/>
      <c r="T163" s="268"/>
      <c r="U163" s="268"/>
      <c r="V163" s="269"/>
      <c r="W163" s="198" t="s">
        <v>289</v>
      </c>
      <c r="X163" s="93">
        <v>42177</v>
      </c>
      <c r="Y163" t="s">
        <v>132</v>
      </c>
    </row>
    <row r="164" spans="1:25" ht="36" customHeight="1" x14ac:dyDescent="0.3">
      <c r="A164" s="142" t="s">
        <v>2</v>
      </c>
      <c r="B164" s="143">
        <v>42177</v>
      </c>
      <c r="C164" s="144">
        <v>147909</v>
      </c>
      <c r="D164" s="149">
        <v>42167</v>
      </c>
      <c r="E164" s="149" t="s">
        <v>177</v>
      </c>
      <c r="G164">
        <v>11</v>
      </c>
      <c r="H164">
        <v>0</v>
      </c>
      <c r="I164">
        <v>0</v>
      </c>
      <c r="J164">
        <v>0</v>
      </c>
      <c r="K164">
        <v>0</v>
      </c>
      <c r="L164" s="92">
        <v>1</v>
      </c>
      <c r="M164" s="289" t="s">
        <v>9</v>
      </c>
      <c r="N164" s="268"/>
      <c r="O164" s="268"/>
      <c r="P164" s="268"/>
      <c r="Q164" s="268"/>
      <c r="R164" s="268"/>
      <c r="S164" s="268"/>
      <c r="T164" s="268"/>
      <c r="U164" s="268"/>
      <c r="V164" s="269"/>
      <c r="W164" s="198" t="s">
        <v>289</v>
      </c>
      <c r="X164" s="93">
        <v>42177</v>
      </c>
      <c r="Y164" t="s">
        <v>132</v>
      </c>
    </row>
    <row r="165" spans="1:25" ht="36" customHeight="1" x14ac:dyDescent="0.3">
      <c r="A165" s="142" t="s">
        <v>2</v>
      </c>
      <c r="B165" s="143">
        <v>42177</v>
      </c>
      <c r="C165" s="144">
        <v>64586</v>
      </c>
      <c r="D165" s="149">
        <v>42135</v>
      </c>
      <c r="E165" s="149" t="s">
        <v>177</v>
      </c>
      <c r="G165">
        <v>14</v>
      </c>
      <c r="H165">
        <v>1</v>
      </c>
      <c r="I165">
        <v>0</v>
      </c>
      <c r="J165">
        <v>0</v>
      </c>
      <c r="K165">
        <v>1</v>
      </c>
      <c r="L165" s="92">
        <v>0.93333333333333335</v>
      </c>
      <c r="M165" s="289" t="s">
        <v>340</v>
      </c>
      <c r="N165" s="268"/>
      <c r="O165" s="268"/>
      <c r="P165" s="268"/>
      <c r="Q165" s="268"/>
      <c r="R165" s="268"/>
      <c r="S165" s="268"/>
      <c r="T165" s="268"/>
      <c r="U165" s="268"/>
      <c r="V165" s="269"/>
      <c r="W165" s="198" t="s">
        <v>289</v>
      </c>
      <c r="X165" s="93">
        <v>42177</v>
      </c>
      <c r="Y165" t="s">
        <v>132</v>
      </c>
    </row>
    <row r="166" spans="1:25" s="80" customFormat="1" ht="36" customHeight="1" thickBot="1" x14ac:dyDescent="0.35">
      <c r="A166" s="250" t="s">
        <v>223</v>
      </c>
      <c r="B166" s="208">
        <v>42177</v>
      </c>
      <c r="C166" s="209">
        <v>5869578</v>
      </c>
      <c r="D166" s="210">
        <v>42047</v>
      </c>
      <c r="E166" s="210" t="s">
        <v>177</v>
      </c>
      <c r="G166" s="80">
        <v>12</v>
      </c>
      <c r="H166" s="80">
        <v>0</v>
      </c>
      <c r="I166" s="80">
        <v>0</v>
      </c>
      <c r="J166" s="80">
        <v>0</v>
      </c>
      <c r="K166" s="80">
        <v>0</v>
      </c>
      <c r="L166" s="81">
        <v>1</v>
      </c>
      <c r="M166" s="290" t="s">
        <v>341</v>
      </c>
      <c r="N166" s="287"/>
      <c r="O166" s="287"/>
      <c r="P166" s="287"/>
      <c r="Q166" s="287"/>
      <c r="R166" s="287"/>
      <c r="S166" s="287"/>
      <c r="T166" s="287"/>
      <c r="U166" s="287"/>
      <c r="V166" s="288"/>
      <c r="W166" s="211" t="s">
        <v>289</v>
      </c>
      <c r="X166" s="82">
        <v>42177</v>
      </c>
      <c r="Y166" s="80" t="s">
        <v>132</v>
      </c>
    </row>
    <row r="167" spans="1:25" ht="53.25" customHeight="1" x14ac:dyDescent="0.3">
      <c r="A167" s="244" t="s">
        <v>172</v>
      </c>
      <c r="B167" s="245">
        <v>42177</v>
      </c>
      <c r="C167" s="246">
        <v>146704</v>
      </c>
      <c r="D167" s="247">
        <v>42122</v>
      </c>
      <c r="E167" s="247" t="s">
        <v>177</v>
      </c>
      <c r="G167">
        <v>10</v>
      </c>
      <c r="H167">
        <v>0</v>
      </c>
      <c r="I167">
        <v>0</v>
      </c>
      <c r="J167">
        <v>0</v>
      </c>
      <c r="K167">
        <v>0</v>
      </c>
      <c r="L167" s="92">
        <v>1</v>
      </c>
      <c r="M167" s="291" t="s">
        <v>342</v>
      </c>
      <c r="N167" s="292"/>
      <c r="O167" s="292"/>
      <c r="P167" s="292"/>
      <c r="Q167" s="292"/>
      <c r="R167" s="292"/>
      <c r="S167" s="292"/>
      <c r="T167" s="292"/>
      <c r="U167" s="292"/>
      <c r="V167" s="293"/>
      <c r="W167" s="204" t="s">
        <v>289</v>
      </c>
      <c r="X167" s="93">
        <v>42177</v>
      </c>
      <c r="Y167" t="s">
        <v>132</v>
      </c>
    </row>
    <row r="168" spans="1:25" ht="36" customHeight="1" x14ac:dyDescent="0.3">
      <c r="A168" s="142" t="s">
        <v>220</v>
      </c>
      <c r="B168" s="143">
        <v>42182</v>
      </c>
      <c r="C168" s="144">
        <v>113364</v>
      </c>
      <c r="D168" s="149">
        <v>42055</v>
      </c>
      <c r="E168" s="149" t="s">
        <v>177</v>
      </c>
      <c r="G168">
        <v>2</v>
      </c>
      <c r="H168">
        <v>5</v>
      </c>
      <c r="I168">
        <v>0</v>
      </c>
      <c r="J168">
        <v>0</v>
      </c>
      <c r="K168">
        <v>5</v>
      </c>
      <c r="L168" s="92">
        <v>0.2857142857142857</v>
      </c>
      <c r="M168" s="289" t="s">
        <v>343</v>
      </c>
      <c r="N168" s="268"/>
      <c r="O168" s="268"/>
      <c r="P168" s="268"/>
      <c r="Q168" s="268"/>
      <c r="R168" s="268"/>
      <c r="S168" s="268"/>
      <c r="T168" s="268"/>
      <c r="U168" s="268"/>
      <c r="V168" s="269"/>
      <c r="W168" s="198" t="s">
        <v>289</v>
      </c>
      <c r="X168" s="93">
        <v>42182</v>
      </c>
      <c r="Y168" t="s">
        <v>132</v>
      </c>
    </row>
    <row r="169" spans="1:25" ht="36" customHeight="1" x14ac:dyDescent="0.3">
      <c r="A169" s="142" t="s">
        <v>220</v>
      </c>
      <c r="B169" s="143">
        <v>42182</v>
      </c>
      <c r="C169" s="144">
        <v>427</v>
      </c>
      <c r="D169" s="149">
        <v>42158</v>
      </c>
      <c r="E169" s="149" t="s">
        <v>177</v>
      </c>
      <c r="G169">
        <v>15</v>
      </c>
      <c r="H169">
        <v>7</v>
      </c>
      <c r="I169">
        <v>0</v>
      </c>
      <c r="J169">
        <v>0</v>
      </c>
      <c r="K169">
        <v>7</v>
      </c>
      <c r="L169" s="92">
        <v>0.68181818181818177</v>
      </c>
      <c r="M169" s="289" t="s">
        <v>344</v>
      </c>
      <c r="N169" s="268"/>
      <c r="O169" s="268"/>
      <c r="P169" s="268"/>
      <c r="Q169" s="268"/>
      <c r="R169" s="268"/>
      <c r="S169" s="268"/>
      <c r="T169" s="268"/>
      <c r="U169" s="268"/>
      <c r="V169" s="269"/>
      <c r="W169" s="198" t="s">
        <v>289</v>
      </c>
      <c r="X169" s="93">
        <v>42182</v>
      </c>
      <c r="Y169" t="s">
        <v>132</v>
      </c>
    </row>
    <row r="170" spans="1:25" ht="36" customHeight="1" x14ac:dyDescent="0.3">
      <c r="A170" s="142" t="s">
        <v>106</v>
      </c>
      <c r="B170" s="143">
        <v>42180</v>
      </c>
      <c r="C170" s="144">
        <v>40988</v>
      </c>
      <c r="D170" s="149">
        <v>42159</v>
      </c>
      <c r="E170" s="149" t="s">
        <v>177</v>
      </c>
      <c r="G170">
        <v>16</v>
      </c>
      <c r="H170">
        <v>0</v>
      </c>
      <c r="I170">
        <v>0</v>
      </c>
      <c r="J170">
        <v>0</v>
      </c>
      <c r="K170">
        <v>0</v>
      </c>
      <c r="L170" s="92">
        <v>1</v>
      </c>
      <c r="M170" s="289" t="s">
        <v>171</v>
      </c>
      <c r="N170" s="268"/>
      <c r="O170" s="268"/>
      <c r="P170" s="268"/>
      <c r="Q170" s="268"/>
      <c r="R170" s="268"/>
      <c r="S170" s="268"/>
      <c r="T170" s="268"/>
      <c r="U170" s="268"/>
      <c r="V170" s="269"/>
      <c r="W170" s="198" t="s">
        <v>289</v>
      </c>
      <c r="X170" s="93">
        <v>42182</v>
      </c>
      <c r="Y170" t="s">
        <v>132</v>
      </c>
    </row>
    <row r="171" spans="1:25" ht="36" customHeight="1" x14ac:dyDescent="0.3">
      <c r="A171" s="142" t="s">
        <v>106</v>
      </c>
      <c r="B171" s="143">
        <v>42182</v>
      </c>
      <c r="C171" s="144">
        <v>11829</v>
      </c>
      <c r="D171" s="149">
        <v>42178</v>
      </c>
      <c r="E171" s="149" t="s">
        <v>177</v>
      </c>
      <c r="G171">
        <v>10</v>
      </c>
      <c r="H171">
        <v>0</v>
      </c>
      <c r="I171">
        <v>0</v>
      </c>
      <c r="J171">
        <v>0</v>
      </c>
      <c r="K171">
        <v>0</v>
      </c>
      <c r="L171" s="92">
        <v>1</v>
      </c>
      <c r="M171" s="289" t="s">
        <v>345</v>
      </c>
      <c r="N171" s="268"/>
      <c r="O171" s="268"/>
      <c r="P171" s="268"/>
      <c r="Q171" s="268"/>
      <c r="R171" s="268"/>
      <c r="S171" s="268"/>
      <c r="T171" s="268"/>
      <c r="U171" s="268"/>
      <c r="V171" s="269"/>
      <c r="W171" s="198" t="s">
        <v>289</v>
      </c>
      <c r="X171" s="93">
        <v>42182</v>
      </c>
      <c r="Y171" t="s">
        <v>132</v>
      </c>
    </row>
    <row r="172" spans="1:25" ht="36" customHeight="1" x14ac:dyDescent="0.3">
      <c r="A172" s="142" t="s">
        <v>223</v>
      </c>
      <c r="B172" s="143">
        <v>42182</v>
      </c>
      <c r="C172" s="144">
        <v>13039</v>
      </c>
      <c r="D172" s="149">
        <v>41954</v>
      </c>
      <c r="E172" s="149" t="s">
        <v>177</v>
      </c>
      <c r="G172">
        <v>11</v>
      </c>
      <c r="H172">
        <v>2</v>
      </c>
      <c r="I172">
        <v>0</v>
      </c>
      <c r="J172">
        <v>0</v>
      </c>
      <c r="K172">
        <v>2</v>
      </c>
      <c r="L172" s="92">
        <v>0.84615384615384615</v>
      </c>
      <c r="M172" s="289" t="s">
        <v>346</v>
      </c>
      <c r="N172" s="268"/>
      <c r="O172" s="268"/>
      <c r="P172" s="268"/>
      <c r="Q172" s="268"/>
      <c r="R172" s="268"/>
      <c r="S172" s="268"/>
      <c r="T172" s="268"/>
      <c r="U172" s="268"/>
      <c r="V172" s="269"/>
      <c r="W172" s="198" t="s">
        <v>289</v>
      </c>
      <c r="X172" s="93">
        <v>42182</v>
      </c>
      <c r="Y172" t="s">
        <v>132</v>
      </c>
    </row>
    <row r="173" spans="1:25" ht="36" customHeight="1" x14ac:dyDescent="0.3">
      <c r="A173" s="142" t="s">
        <v>223</v>
      </c>
      <c r="B173" s="143">
        <v>42182</v>
      </c>
      <c r="C173" s="144">
        <v>8186</v>
      </c>
      <c r="D173" s="149">
        <v>42301</v>
      </c>
      <c r="E173" s="149">
        <v>42179</v>
      </c>
      <c r="G173">
        <v>17</v>
      </c>
      <c r="H173">
        <v>0</v>
      </c>
      <c r="I173">
        <v>0</v>
      </c>
      <c r="J173">
        <v>0</v>
      </c>
      <c r="K173">
        <v>0</v>
      </c>
      <c r="L173" s="92">
        <v>1</v>
      </c>
      <c r="M173" s="289" t="s">
        <v>9</v>
      </c>
      <c r="N173" s="268"/>
      <c r="O173" s="268"/>
      <c r="P173" s="268"/>
      <c r="Q173" s="268"/>
      <c r="R173" s="268"/>
      <c r="S173" s="268"/>
      <c r="T173" s="268"/>
      <c r="U173" s="268"/>
      <c r="V173" s="269"/>
      <c r="W173" s="198" t="s">
        <v>289</v>
      </c>
      <c r="X173" s="93">
        <v>42182</v>
      </c>
      <c r="Y173" t="s">
        <v>132</v>
      </c>
    </row>
    <row r="174" spans="1:25" ht="36" customHeight="1" x14ac:dyDescent="0.3">
      <c r="A174" s="142" t="s">
        <v>2</v>
      </c>
      <c r="B174" s="143">
        <v>42182</v>
      </c>
      <c r="C174" s="144">
        <v>80346</v>
      </c>
      <c r="D174" s="149">
        <v>42180</v>
      </c>
      <c r="E174" s="149">
        <v>42181</v>
      </c>
      <c r="G174">
        <v>16</v>
      </c>
      <c r="H174">
        <v>0</v>
      </c>
      <c r="I174">
        <v>0</v>
      </c>
      <c r="J174">
        <v>0</v>
      </c>
      <c r="K174">
        <v>0</v>
      </c>
      <c r="L174" s="92">
        <v>1</v>
      </c>
      <c r="M174" s="289" t="s">
        <v>9</v>
      </c>
      <c r="N174" s="268"/>
      <c r="O174" s="268"/>
      <c r="P174" s="268"/>
      <c r="Q174" s="268"/>
      <c r="R174" s="268"/>
      <c r="S174" s="268"/>
      <c r="T174" s="268"/>
      <c r="U174" s="268"/>
      <c r="V174" s="269"/>
      <c r="W174" s="198" t="s">
        <v>289</v>
      </c>
      <c r="X174" s="93">
        <v>42182</v>
      </c>
      <c r="Y174" t="s">
        <v>132</v>
      </c>
    </row>
    <row r="175" spans="1:25" ht="36" customHeight="1" x14ac:dyDescent="0.3">
      <c r="A175" s="142" t="s">
        <v>2</v>
      </c>
      <c r="B175" s="143">
        <v>42182</v>
      </c>
      <c r="C175" s="144">
        <v>10455</v>
      </c>
      <c r="D175" s="149">
        <v>42166</v>
      </c>
      <c r="E175" s="149">
        <v>42174</v>
      </c>
      <c r="G175">
        <v>14</v>
      </c>
      <c r="H175">
        <v>2</v>
      </c>
      <c r="I175">
        <v>0</v>
      </c>
      <c r="J175">
        <v>0</v>
      </c>
      <c r="K175">
        <v>2</v>
      </c>
      <c r="L175" s="92">
        <v>0</v>
      </c>
      <c r="M175" s="289" t="s">
        <v>347</v>
      </c>
      <c r="N175" s="268"/>
      <c r="O175" s="268"/>
      <c r="P175" s="268"/>
      <c r="Q175" s="268"/>
      <c r="R175" s="268"/>
      <c r="S175" s="268"/>
      <c r="T175" s="268"/>
      <c r="U175" s="268"/>
      <c r="V175" s="269"/>
      <c r="W175" s="198" t="s">
        <v>289</v>
      </c>
      <c r="X175" s="93">
        <v>42182</v>
      </c>
      <c r="Y175" t="s">
        <v>132</v>
      </c>
    </row>
    <row r="176" spans="1:25" ht="36" customHeight="1" x14ac:dyDescent="0.3">
      <c r="A176" s="142" t="s">
        <v>169</v>
      </c>
      <c r="B176" s="143" t="s">
        <v>348</v>
      </c>
      <c r="C176" s="144">
        <v>56909</v>
      </c>
      <c r="D176" s="149">
        <v>42124</v>
      </c>
      <c r="E176" s="149" t="s">
        <v>177</v>
      </c>
      <c r="G176">
        <v>16</v>
      </c>
      <c r="H176">
        <v>1</v>
      </c>
      <c r="I176">
        <v>0</v>
      </c>
      <c r="J176">
        <v>0</v>
      </c>
      <c r="K176">
        <v>1</v>
      </c>
      <c r="L176" s="92">
        <v>0.94117647058823528</v>
      </c>
      <c r="M176" s="289" t="s">
        <v>9</v>
      </c>
      <c r="N176" s="268"/>
      <c r="O176" s="268"/>
      <c r="P176" s="268"/>
      <c r="Q176" s="268"/>
      <c r="R176" s="268"/>
      <c r="S176" s="268"/>
      <c r="T176" s="268"/>
      <c r="U176" s="268"/>
      <c r="V176" s="269"/>
      <c r="W176" s="198" t="s">
        <v>289</v>
      </c>
      <c r="X176" s="93">
        <v>42182</v>
      </c>
      <c r="Y176" t="s">
        <v>132</v>
      </c>
    </row>
    <row r="177" spans="1:25" ht="36" customHeight="1" x14ac:dyDescent="0.3">
      <c r="A177" s="142" t="s">
        <v>166</v>
      </c>
      <c r="B177" s="143">
        <v>42182</v>
      </c>
      <c r="C177" s="144">
        <v>4858</v>
      </c>
      <c r="D177" s="149">
        <v>42175</v>
      </c>
      <c r="E177" s="149" t="s">
        <v>177</v>
      </c>
      <c r="G177">
        <v>21</v>
      </c>
      <c r="H177">
        <v>0</v>
      </c>
      <c r="I177">
        <v>0</v>
      </c>
      <c r="J177">
        <v>0</v>
      </c>
      <c r="K177">
        <v>0</v>
      </c>
      <c r="L177" s="92">
        <v>1</v>
      </c>
      <c r="M177" s="289" t="s">
        <v>9</v>
      </c>
      <c r="N177" s="268"/>
      <c r="O177" s="268"/>
      <c r="P177" s="268"/>
      <c r="Q177" s="268"/>
      <c r="R177" s="268"/>
      <c r="S177" s="268"/>
      <c r="T177" s="268"/>
      <c r="U177" s="268"/>
      <c r="V177" s="269"/>
      <c r="W177" s="198" t="s">
        <v>289</v>
      </c>
      <c r="X177" s="93">
        <v>42182</v>
      </c>
      <c r="Y177" t="s">
        <v>132</v>
      </c>
    </row>
    <row r="178" spans="1:25" ht="36" customHeight="1" x14ac:dyDescent="0.3">
      <c r="A178" s="142" t="s">
        <v>157</v>
      </c>
      <c r="B178" s="143">
        <v>42182</v>
      </c>
      <c r="C178" s="144">
        <v>12317</v>
      </c>
      <c r="D178" s="149">
        <v>42173</v>
      </c>
      <c r="E178" s="149">
        <v>42178</v>
      </c>
      <c r="G178">
        <v>17</v>
      </c>
      <c r="H178">
        <v>0</v>
      </c>
      <c r="I178">
        <v>0</v>
      </c>
      <c r="J178">
        <v>0</v>
      </c>
      <c r="K178">
        <v>0</v>
      </c>
      <c r="L178" s="92">
        <v>1</v>
      </c>
      <c r="M178" s="289" t="s">
        <v>349</v>
      </c>
      <c r="N178" s="268"/>
      <c r="O178" s="268"/>
      <c r="P178" s="268"/>
      <c r="Q178" s="268"/>
      <c r="R178" s="268"/>
      <c r="S178" s="268"/>
      <c r="T178" s="268"/>
      <c r="U178" s="268"/>
      <c r="V178" s="269"/>
      <c r="W178" s="198" t="s">
        <v>289</v>
      </c>
      <c r="X178" s="93">
        <v>42182</v>
      </c>
      <c r="Y178" t="s">
        <v>132</v>
      </c>
    </row>
    <row r="179" spans="1:25" ht="36" customHeight="1" x14ac:dyDescent="0.3">
      <c r="A179" s="142" t="s">
        <v>157</v>
      </c>
      <c r="B179" s="143">
        <v>42182</v>
      </c>
      <c r="C179" s="144">
        <v>11271</v>
      </c>
      <c r="D179" s="149">
        <v>42179</v>
      </c>
      <c r="E179" s="149" t="s">
        <v>177</v>
      </c>
      <c r="G179">
        <v>21</v>
      </c>
      <c r="H179">
        <v>0</v>
      </c>
      <c r="I179">
        <v>0</v>
      </c>
      <c r="J179">
        <v>0</v>
      </c>
      <c r="K179">
        <v>0</v>
      </c>
      <c r="L179" s="92">
        <v>1</v>
      </c>
      <c r="M179" s="289" t="s">
        <v>9</v>
      </c>
      <c r="N179" s="268"/>
      <c r="O179" s="268"/>
      <c r="P179" s="268"/>
      <c r="Q179" s="268"/>
      <c r="R179" s="268"/>
      <c r="S179" s="268"/>
      <c r="T179" s="268"/>
      <c r="U179" s="268"/>
      <c r="V179" s="269"/>
      <c r="W179" s="198" t="s">
        <v>289</v>
      </c>
      <c r="X179" s="93">
        <v>42182</v>
      </c>
      <c r="Y179" t="s">
        <v>132</v>
      </c>
    </row>
    <row r="180" spans="1:25" ht="36" customHeight="1" x14ac:dyDescent="0.3">
      <c r="A180" s="142" t="s">
        <v>210</v>
      </c>
      <c r="B180" s="143">
        <v>42182</v>
      </c>
      <c r="C180" s="144">
        <v>6216</v>
      </c>
      <c r="D180" s="149">
        <v>42167</v>
      </c>
      <c r="E180" s="149" t="s">
        <v>177</v>
      </c>
      <c r="G180">
        <v>10</v>
      </c>
      <c r="H180">
        <v>0</v>
      </c>
      <c r="I180">
        <v>0</v>
      </c>
      <c r="J180">
        <v>0</v>
      </c>
      <c r="K180">
        <v>0</v>
      </c>
      <c r="L180" s="92">
        <v>1</v>
      </c>
      <c r="M180" s="289" t="s">
        <v>350</v>
      </c>
      <c r="N180" s="268"/>
      <c r="O180" s="268"/>
      <c r="P180" s="268"/>
      <c r="Q180" s="268"/>
      <c r="R180" s="268"/>
      <c r="S180" s="268"/>
      <c r="T180" s="268"/>
      <c r="U180" s="268"/>
      <c r="V180" s="269"/>
      <c r="W180" s="198" t="s">
        <v>289</v>
      </c>
      <c r="X180" s="93">
        <v>42182</v>
      </c>
      <c r="Y180" t="s">
        <v>132</v>
      </c>
    </row>
    <row r="181" spans="1:25" ht="24" customHeight="1" x14ac:dyDescent="0.3">
      <c r="A181" s="142" t="s">
        <v>210</v>
      </c>
      <c r="B181" s="143">
        <v>42182</v>
      </c>
      <c r="C181" s="144">
        <v>158744</v>
      </c>
      <c r="D181" s="149">
        <v>42179</v>
      </c>
      <c r="E181" s="149" t="s">
        <v>177</v>
      </c>
      <c r="G181">
        <v>16</v>
      </c>
      <c r="H181">
        <v>0</v>
      </c>
      <c r="I181">
        <v>0</v>
      </c>
      <c r="J181">
        <v>0</v>
      </c>
      <c r="K181">
        <v>0</v>
      </c>
      <c r="L181" s="92">
        <v>1</v>
      </c>
      <c r="M181" s="289" t="s">
        <v>9</v>
      </c>
      <c r="N181" s="268"/>
      <c r="O181" s="268"/>
      <c r="P181" s="268"/>
      <c r="Q181" s="268"/>
      <c r="R181" s="268"/>
      <c r="S181" s="268"/>
      <c r="T181" s="268"/>
      <c r="U181" s="268"/>
      <c r="V181" s="269"/>
      <c r="W181" s="198" t="s">
        <v>289</v>
      </c>
      <c r="X181" s="93">
        <v>42182</v>
      </c>
      <c r="Y181" t="s">
        <v>132</v>
      </c>
    </row>
    <row r="182" spans="1:25" ht="42" customHeight="1" x14ac:dyDescent="0.3">
      <c r="A182" s="142" t="s">
        <v>172</v>
      </c>
      <c r="B182" s="143">
        <v>42182</v>
      </c>
      <c r="C182" s="144">
        <v>146704</v>
      </c>
      <c r="D182" s="149">
        <v>42122</v>
      </c>
      <c r="E182" s="149" t="s">
        <v>177</v>
      </c>
      <c r="G182">
        <v>10</v>
      </c>
      <c r="H182">
        <v>0</v>
      </c>
      <c r="I182">
        <v>0</v>
      </c>
      <c r="J182">
        <v>0</v>
      </c>
      <c r="K182">
        <v>0</v>
      </c>
      <c r="L182" s="92">
        <v>1</v>
      </c>
      <c r="M182" s="289" t="s">
        <v>351</v>
      </c>
      <c r="N182" s="268"/>
      <c r="O182" s="268"/>
      <c r="P182" s="268"/>
      <c r="Q182" s="268"/>
      <c r="R182" s="268"/>
      <c r="S182" s="268"/>
      <c r="T182" s="268"/>
      <c r="U182" s="268"/>
      <c r="V182" s="269"/>
      <c r="W182" s="198" t="s">
        <v>289</v>
      </c>
      <c r="X182" s="93">
        <v>42182</v>
      </c>
      <c r="Y182" t="s">
        <v>132</v>
      </c>
    </row>
    <row r="183" spans="1:25" ht="40.5" customHeight="1" thickBot="1" x14ac:dyDescent="0.35">
      <c r="A183" s="234" t="s">
        <v>172</v>
      </c>
      <c r="B183" s="235">
        <v>42182</v>
      </c>
      <c r="C183" s="236">
        <v>34718</v>
      </c>
      <c r="D183" s="237">
        <v>42055</v>
      </c>
      <c r="E183" s="237" t="s">
        <v>177</v>
      </c>
      <c r="G183">
        <v>9</v>
      </c>
      <c r="H183">
        <v>0</v>
      </c>
      <c r="I183">
        <v>0</v>
      </c>
      <c r="J183">
        <v>0</v>
      </c>
      <c r="K183">
        <v>0</v>
      </c>
      <c r="L183" s="92">
        <v>1</v>
      </c>
      <c r="M183" s="294" t="s">
        <v>9</v>
      </c>
      <c r="N183" s="295"/>
      <c r="O183" s="295"/>
      <c r="P183" s="295"/>
      <c r="Q183" s="295"/>
      <c r="R183" s="295"/>
      <c r="S183" s="295"/>
      <c r="T183" s="295"/>
      <c r="U183" s="295"/>
      <c r="V183" s="296"/>
      <c r="W183" s="238" t="s">
        <v>289</v>
      </c>
      <c r="X183" s="93">
        <v>42182</v>
      </c>
      <c r="Y183" t="s">
        <v>132</v>
      </c>
    </row>
    <row r="184" spans="1:25" s="68" customFormat="1" ht="36" customHeight="1" x14ac:dyDescent="0.3">
      <c r="A184" s="239" t="s">
        <v>223</v>
      </c>
      <c r="B184" s="240">
        <v>42193</v>
      </c>
      <c r="C184" s="261">
        <v>170539</v>
      </c>
      <c r="D184" s="242">
        <v>42116</v>
      </c>
      <c r="E184" s="242">
        <v>42186</v>
      </c>
      <c r="G184" s="68">
        <v>18</v>
      </c>
      <c r="H184" s="68">
        <v>0</v>
      </c>
      <c r="I184" s="68">
        <v>0</v>
      </c>
      <c r="J184" s="68">
        <v>0</v>
      </c>
      <c r="K184" s="68">
        <v>0</v>
      </c>
      <c r="L184" s="69">
        <v>1</v>
      </c>
      <c r="M184" s="297" t="s">
        <v>171</v>
      </c>
      <c r="N184" s="298"/>
      <c r="O184" s="298"/>
      <c r="P184" s="298"/>
      <c r="Q184" s="298"/>
      <c r="R184" s="298"/>
      <c r="S184" s="298"/>
      <c r="T184" s="298"/>
      <c r="U184" s="298"/>
      <c r="V184" s="299"/>
      <c r="W184" s="243" t="s">
        <v>289</v>
      </c>
      <c r="X184" s="70">
        <v>42193</v>
      </c>
      <c r="Y184" s="68" t="s">
        <v>132</v>
      </c>
    </row>
    <row r="185" spans="1:25" s="73" customFormat="1" ht="36" customHeight="1" x14ac:dyDescent="0.3">
      <c r="A185" s="248" t="s">
        <v>223</v>
      </c>
      <c r="B185" s="143">
        <v>42193</v>
      </c>
      <c r="C185" s="256">
        <v>88309</v>
      </c>
      <c r="D185" s="149">
        <v>42058</v>
      </c>
      <c r="E185" s="149" t="s">
        <v>177</v>
      </c>
      <c r="G185" s="73">
        <v>11</v>
      </c>
      <c r="H185" s="73">
        <v>1</v>
      </c>
      <c r="I185" s="73">
        <v>0</v>
      </c>
      <c r="J185" s="73">
        <v>0</v>
      </c>
      <c r="K185" s="73">
        <v>1</v>
      </c>
      <c r="L185" s="74">
        <v>0.91666666666666663</v>
      </c>
      <c r="M185" s="289" t="s">
        <v>354</v>
      </c>
      <c r="N185" s="268"/>
      <c r="O185" s="268"/>
      <c r="P185" s="268"/>
      <c r="Q185" s="268"/>
      <c r="R185" s="268"/>
      <c r="S185" s="268"/>
      <c r="T185" s="268"/>
      <c r="U185" s="268"/>
      <c r="V185" s="269"/>
      <c r="W185" s="198" t="s">
        <v>289</v>
      </c>
      <c r="X185" s="75">
        <v>42193</v>
      </c>
      <c r="Y185" s="73" t="s">
        <v>132</v>
      </c>
    </row>
    <row r="186" spans="1:25" s="73" customFormat="1" ht="36" customHeight="1" x14ac:dyDescent="0.3">
      <c r="A186" s="248" t="s">
        <v>172</v>
      </c>
      <c r="B186" s="143">
        <v>42193</v>
      </c>
      <c r="C186" s="256">
        <v>11456</v>
      </c>
      <c r="D186" s="149">
        <v>42170</v>
      </c>
      <c r="E186" s="149" t="s">
        <v>177</v>
      </c>
      <c r="G186" s="73">
        <v>10</v>
      </c>
      <c r="H186" s="73">
        <v>0</v>
      </c>
      <c r="I186" s="73">
        <v>0</v>
      </c>
      <c r="J186" s="73">
        <v>0</v>
      </c>
      <c r="K186" s="73">
        <v>0</v>
      </c>
      <c r="L186" s="74">
        <v>1</v>
      </c>
      <c r="M186" s="289" t="s">
        <v>355</v>
      </c>
      <c r="N186" s="268"/>
      <c r="O186" s="268"/>
      <c r="P186" s="268"/>
      <c r="Q186" s="268"/>
      <c r="R186" s="268"/>
      <c r="S186" s="268"/>
      <c r="T186" s="268"/>
      <c r="U186" s="268"/>
      <c r="V186" s="269"/>
      <c r="W186" s="198" t="s">
        <v>289</v>
      </c>
      <c r="X186" s="75">
        <v>42193</v>
      </c>
      <c r="Y186" s="73" t="s">
        <v>132</v>
      </c>
    </row>
    <row r="187" spans="1:25" s="73" customFormat="1" ht="36" customHeight="1" x14ac:dyDescent="0.3">
      <c r="A187" s="248" t="s">
        <v>172</v>
      </c>
      <c r="B187" s="143">
        <v>42193</v>
      </c>
      <c r="C187" s="256">
        <v>109867</v>
      </c>
      <c r="D187" s="149">
        <v>42013</v>
      </c>
      <c r="E187" s="149" t="s">
        <v>177</v>
      </c>
      <c r="G187" s="73">
        <v>17</v>
      </c>
      <c r="H187" s="73">
        <v>1</v>
      </c>
      <c r="I187" s="73">
        <v>0</v>
      </c>
      <c r="J187" s="73">
        <v>0</v>
      </c>
      <c r="K187" s="73">
        <v>1</v>
      </c>
      <c r="L187" s="74">
        <v>0.94444444444444442</v>
      </c>
      <c r="M187" s="289" t="s">
        <v>356</v>
      </c>
      <c r="N187" s="268"/>
      <c r="O187" s="268"/>
      <c r="P187" s="268"/>
      <c r="Q187" s="268"/>
      <c r="R187" s="268"/>
      <c r="S187" s="268"/>
      <c r="T187" s="268"/>
      <c r="U187" s="268"/>
      <c r="V187" s="269"/>
      <c r="W187" s="198" t="s">
        <v>289</v>
      </c>
      <c r="X187" s="75">
        <v>42193</v>
      </c>
      <c r="Y187" s="73" t="s">
        <v>132</v>
      </c>
    </row>
    <row r="188" spans="1:25" s="73" customFormat="1" ht="36" customHeight="1" x14ac:dyDescent="0.3">
      <c r="A188" s="248" t="s">
        <v>210</v>
      </c>
      <c r="B188" s="143">
        <v>42191</v>
      </c>
      <c r="C188" s="256">
        <v>61292</v>
      </c>
      <c r="D188" s="149">
        <v>42153</v>
      </c>
      <c r="E188" s="149" t="s">
        <v>177</v>
      </c>
      <c r="G188" s="73">
        <v>15</v>
      </c>
      <c r="H188" s="73">
        <v>1</v>
      </c>
      <c r="I188" s="73">
        <v>0</v>
      </c>
      <c r="J188" s="73">
        <v>0</v>
      </c>
      <c r="K188" s="73">
        <v>1</v>
      </c>
      <c r="L188" s="74">
        <v>0.9375</v>
      </c>
      <c r="M188" s="289" t="s">
        <v>357</v>
      </c>
      <c r="N188" s="268"/>
      <c r="O188" s="268"/>
      <c r="P188" s="268"/>
      <c r="Q188" s="268"/>
      <c r="R188" s="268"/>
      <c r="S188" s="268"/>
      <c r="T188" s="268"/>
      <c r="U188" s="268"/>
      <c r="V188" s="269"/>
      <c r="W188" s="198" t="s">
        <v>289</v>
      </c>
      <c r="X188" s="75">
        <v>42193</v>
      </c>
      <c r="Y188" s="73" t="s">
        <v>132</v>
      </c>
    </row>
    <row r="189" spans="1:25" s="73" customFormat="1" ht="36" customHeight="1" x14ac:dyDescent="0.3">
      <c r="A189" s="248" t="s">
        <v>210</v>
      </c>
      <c r="B189" s="143">
        <v>42193</v>
      </c>
      <c r="C189" s="256">
        <v>6294</v>
      </c>
      <c r="D189" s="149">
        <v>42096</v>
      </c>
      <c r="E189" s="149" t="s">
        <v>177</v>
      </c>
      <c r="G189" s="73">
        <v>10</v>
      </c>
      <c r="H189" s="73">
        <v>2</v>
      </c>
      <c r="I189" s="73">
        <v>0</v>
      </c>
      <c r="J189" s="73">
        <v>0</v>
      </c>
      <c r="K189" s="73">
        <v>2</v>
      </c>
      <c r="L189" s="74">
        <v>0.83333333333333337</v>
      </c>
      <c r="M189" s="289" t="s">
        <v>358</v>
      </c>
      <c r="N189" s="268"/>
      <c r="O189" s="268"/>
      <c r="P189" s="268"/>
      <c r="Q189" s="268"/>
      <c r="R189" s="268"/>
      <c r="S189" s="268"/>
      <c r="T189" s="268"/>
      <c r="U189" s="268"/>
      <c r="V189" s="269"/>
      <c r="W189" s="198" t="s">
        <v>289</v>
      </c>
      <c r="X189" s="75">
        <v>42193</v>
      </c>
      <c r="Y189" s="73" t="s">
        <v>132</v>
      </c>
    </row>
    <row r="190" spans="1:25" s="73" customFormat="1" ht="36" customHeight="1" x14ac:dyDescent="0.3">
      <c r="A190" s="248" t="s">
        <v>157</v>
      </c>
      <c r="B190" s="143">
        <v>42191</v>
      </c>
      <c r="C190" s="256">
        <v>91415</v>
      </c>
      <c r="D190" s="149">
        <v>42181</v>
      </c>
      <c r="E190" s="149" t="s">
        <v>177</v>
      </c>
      <c r="G190" s="73">
        <v>10</v>
      </c>
      <c r="H190" s="73">
        <v>1</v>
      </c>
      <c r="I190" s="73">
        <v>0</v>
      </c>
      <c r="J190" s="73">
        <v>0</v>
      </c>
      <c r="K190" s="73">
        <v>1</v>
      </c>
      <c r="L190" s="74">
        <v>0.90909090909090906</v>
      </c>
      <c r="M190" s="289" t="s">
        <v>359</v>
      </c>
      <c r="N190" s="268"/>
      <c r="O190" s="268"/>
      <c r="P190" s="268"/>
      <c r="Q190" s="268"/>
      <c r="R190" s="268"/>
      <c r="S190" s="268"/>
      <c r="T190" s="268"/>
      <c r="U190" s="268"/>
      <c r="V190" s="269"/>
      <c r="W190" s="198" t="s">
        <v>289</v>
      </c>
      <c r="X190" s="75">
        <v>42193</v>
      </c>
      <c r="Y190" s="73" t="s">
        <v>132</v>
      </c>
    </row>
    <row r="191" spans="1:25" s="73" customFormat="1" ht="36" customHeight="1" x14ac:dyDescent="0.3">
      <c r="A191" s="248" t="s">
        <v>157</v>
      </c>
      <c r="B191" s="143">
        <v>42191</v>
      </c>
      <c r="C191" s="256">
        <v>252378</v>
      </c>
      <c r="D191" s="149">
        <v>42179</v>
      </c>
      <c r="E191" s="149" t="s">
        <v>177</v>
      </c>
      <c r="G191" s="73">
        <v>17</v>
      </c>
      <c r="H191" s="73">
        <v>0</v>
      </c>
      <c r="I191" s="73">
        <v>0</v>
      </c>
      <c r="J191" s="73">
        <v>0</v>
      </c>
      <c r="K191" s="73">
        <v>0</v>
      </c>
      <c r="L191" s="74">
        <v>1</v>
      </c>
      <c r="M191" s="289" t="s">
        <v>360</v>
      </c>
      <c r="N191" s="268"/>
      <c r="O191" s="268"/>
      <c r="P191" s="268"/>
      <c r="Q191" s="268"/>
      <c r="R191" s="268"/>
      <c r="S191" s="268"/>
      <c r="T191" s="268"/>
      <c r="U191" s="268"/>
      <c r="V191" s="269"/>
      <c r="W191" s="198" t="s">
        <v>289</v>
      </c>
      <c r="X191" s="75">
        <v>42193</v>
      </c>
      <c r="Y191" s="73" t="s">
        <v>132</v>
      </c>
    </row>
    <row r="192" spans="1:25" s="73" customFormat="1" ht="36" customHeight="1" x14ac:dyDescent="0.3">
      <c r="A192" s="248" t="s">
        <v>156</v>
      </c>
      <c r="B192" s="143">
        <v>42191</v>
      </c>
      <c r="C192" s="256">
        <v>61230</v>
      </c>
      <c r="D192" s="149">
        <v>42186</v>
      </c>
      <c r="E192" s="149" t="s">
        <v>177</v>
      </c>
      <c r="G192" s="73">
        <v>11</v>
      </c>
      <c r="H192" s="73">
        <v>0</v>
      </c>
      <c r="I192" s="73">
        <v>0</v>
      </c>
      <c r="J192" s="73">
        <v>0</v>
      </c>
      <c r="K192" s="73">
        <v>0</v>
      </c>
      <c r="L192" s="74">
        <v>1</v>
      </c>
      <c r="M192" s="289" t="s">
        <v>361</v>
      </c>
      <c r="N192" s="268"/>
      <c r="O192" s="268"/>
      <c r="P192" s="268"/>
      <c r="Q192" s="268"/>
      <c r="R192" s="268"/>
      <c r="S192" s="268"/>
      <c r="T192" s="268"/>
      <c r="U192" s="268"/>
      <c r="V192" s="269"/>
      <c r="W192" s="198" t="s">
        <v>289</v>
      </c>
      <c r="X192" s="75">
        <v>42193</v>
      </c>
      <c r="Y192" s="73" t="s">
        <v>132</v>
      </c>
    </row>
    <row r="193" spans="1:25" s="73" customFormat="1" ht="36" customHeight="1" x14ac:dyDescent="0.3">
      <c r="A193" s="248" t="s">
        <v>156</v>
      </c>
      <c r="B193" s="143">
        <v>42192</v>
      </c>
      <c r="C193" s="256">
        <v>191343</v>
      </c>
      <c r="D193" s="149">
        <v>42055</v>
      </c>
      <c r="E193" s="149" t="s">
        <v>177</v>
      </c>
      <c r="G193" s="73">
        <v>12</v>
      </c>
      <c r="H193" s="73">
        <v>2</v>
      </c>
      <c r="I193" s="73">
        <v>0</v>
      </c>
      <c r="J193" s="73">
        <v>0</v>
      </c>
      <c r="K193" s="73">
        <v>2</v>
      </c>
      <c r="L193" s="74">
        <v>0.8571428571428571</v>
      </c>
      <c r="M193" s="289" t="s">
        <v>362</v>
      </c>
      <c r="N193" s="268"/>
      <c r="O193" s="268"/>
      <c r="P193" s="268"/>
      <c r="Q193" s="268"/>
      <c r="R193" s="268"/>
      <c r="S193" s="268"/>
      <c r="T193" s="268"/>
      <c r="U193" s="268"/>
      <c r="V193" s="269"/>
      <c r="W193" s="198" t="s">
        <v>289</v>
      </c>
      <c r="X193" s="75">
        <v>42193</v>
      </c>
      <c r="Y193" s="73" t="s">
        <v>132</v>
      </c>
    </row>
    <row r="194" spans="1:25" s="73" customFormat="1" ht="36" customHeight="1" x14ac:dyDescent="0.3">
      <c r="A194" s="248" t="s">
        <v>2</v>
      </c>
      <c r="B194" s="143">
        <v>42191</v>
      </c>
      <c r="C194" s="256">
        <v>10455</v>
      </c>
      <c r="D194" s="149">
        <v>42166</v>
      </c>
      <c r="E194" s="149">
        <v>42174</v>
      </c>
      <c r="G194" s="73">
        <v>15</v>
      </c>
      <c r="H194" s="73">
        <v>1</v>
      </c>
      <c r="I194" s="73">
        <v>0</v>
      </c>
      <c r="J194" s="73">
        <v>0</v>
      </c>
      <c r="K194" s="73">
        <v>1</v>
      </c>
      <c r="L194" s="74">
        <v>0</v>
      </c>
      <c r="M194" s="289" t="s">
        <v>363</v>
      </c>
      <c r="N194" s="268"/>
      <c r="O194" s="268"/>
      <c r="P194" s="268"/>
      <c r="Q194" s="268"/>
      <c r="R194" s="268"/>
      <c r="S194" s="268"/>
      <c r="T194" s="268"/>
      <c r="U194" s="268"/>
      <c r="V194" s="269"/>
      <c r="W194" s="198" t="s">
        <v>289</v>
      </c>
      <c r="X194" s="75">
        <v>42193</v>
      </c>
      <c r="Y194" s="73" t="s">
        <v>132</v>
      </c>
    </row>
    <row r="195" spans="1:25" s="73" customFormat="1" ht="36" customHeight="1" x14ac:dyDescent="0.3">
      <c r="A195" s="248" t="s">
        <v>2</v>
      </c>
      <c r="B195" s="143">
        <v>42191</v>
      </c>
      <c r="C195" s="256">
        <v>198505</v>
      </c>
      <c r="D195" s="149">
        <v>42188</v>
      </c>
      <c r="E195" s="149">
        <v>42191</v>
      </c>
      <c r="G195" s="73">
        <v>10</v>
      </c>
      <c r="H195" s="73">
        <v>2</v>
      </c>
      <c r="I195" s="73">
        <v>0</v>
      </c>
      <c r="J195" s="73">
        <v>0</v>
      </c>
      <c r="K195" s="73">
        <v>2</v>
      </c>
      <c r="L195" s="74">
        <v>0.83333333333333337</v>
      </c>
      <c r="M195" s="289" t="s">
        <v>364</v>
      </c>
      <c r="N195" s="268"/>
      <c r="O195" s="268"/>
      <c r="P195" s="268"/>
      <c r="Q195" s="268"/>
      <c r="R195" s="268"/>
      <c r="S195" s="268"/>
      <c r="T195" s="268"/>
      <c r="U195" s="268"/>
      <c r="V195" s="269"/>
      <c r="W195" s="198" t="s">
        <v>289</v>
      </c>
      <c r="X195" s="75">
        <v>42193</v>
      </c>
      <c r="Y195" s="73" t="s">
        <v>132</v>
      </c>
    </row>
    <row r="196" spans="1:25" s="73" customFormat="1" ht="36" customHeight="1" x14ac:dyDescent="0.3">
      <c r="A196" s="248" t="s">
        <v>2</v>
      </c>
      <c r="B196" s="143">
        <v>42191</v>
      </c>
      <c r="C196" s="256">
        <v>29479</v>
      </c>
      <c r="D196" s="149">
        <v>42019</v>
      </c>
      <c r="E196" s="149">
        <v>42186</v>
      </c>
      <c r="G196" s="73">
        <v>11</v>
      </c>
      <c r="H196" s="73">
        <v>0</v>
      </c>
      <c r="I196" s="73">
        <v>0</v>
      </c>
      <c r="J196" s="73">
        <v>0</v>
      </c>
      <c r="K196" s="73">
        <v>0</v>
      </c>
      <c r="L196" s="74">
        <v>1</v>
      </c>
      <c r="M196" s="289" t="s">
        <v>360</v>
      </c>
      <c r="N196" s="268"/>
      <c r="O196" s="268"/>
      <c r="P196" s="268"/>
      <c r="Q196" s="268"/>
      <c r="R196" s="268"/>
      <c r="S196" s="268"/>
      <c r="T196" s="268"/>
      <c r="U196" s="268"/>
      <c r="V196" s="269"/>
      <c r="W196" s="198" t="s">
        <v>289</v>
      </c>
      <c r="X196" s="75">
        <v>42193</v>
      </c>
      <c r="Y196" s="73" t="s">
        <v>132</v>
      </c>
    </row>
    <row r="197" spans="1:25" s="73" customFormat="1" ht="36" customHeight="1" x14ac:dyDescent="0.3">
      <c r="A197" s="248" t="s">
        <v>106</v>
      </c>
      <c r="B197" s="143">
        <v>42191</v>
      </c>
      <c r="C197" s="256">
        <v>107444</v>
      </c>
      <c r="D197" s="149">
        <v>42142</v>
      </c>
      <c r="E197" s="149" t="s">
        <v>177</v>
      </c>
      <c r="G197" s="73">
        <v>10</v>
      </c>
      <c r="H197" s="73">
        <v>0</v>
      </c>
      <c r="I197" s="73">
        <v>0</v>
      </c>
      <c r="J197" s="73">
        <v>0</v>
      </c>
      <c r="K197" s="73">
        <v>0</v>
      </c>
      <c r="L197" s="74">
        <v>1</v>
      </c>
      <c r="M197" s="289" t="s">
        <v>360</v>
      </c>
      <c r="N197" s="268"/>
      <c r="O197" s="268"/>
      <c r="P197" s="268"/>
      <c r="Q197" s="268"/>
      <c r="R197" s="268"/>
      <c r="S197" s="268"/>
      <c r="T197" s="268"/>
      <c r="U197" s="268"/>
      <c r="V197" s="269"/>
      <c r="W197" s="198" t="s">
        <v>289</v>
      </c>
      <c r="X197" s="75">
        <v>42193</v>
      </c>
      <c r="Y197" s="73" t="s">
        <v>132</v>
      </c>
    </row>
    <row r="198" spans="1:25" s="73" customFormat="1" ht="36" customHeight="1" x14ac:dyDescent="0.3">
      <c r="A198" s="248" t="s">
        <v>106</v>
      </c>
      <c r="B198" s="143">
        <v>42191</v>
      </c>
      <c r="C198" s="256">
        <v>64336</v>
      </c>
      <c r="D198" s="149">
        <v>42160</v>
      </c>
      <c r="E198" s="149" t="s">
        <v>177</v>
      </c>
      <c r="G198" s="73">
        <v>15</v>
      </c>
      <c r="H198" s="73">
        <v>0</v>
      </c>
      <c r="I198" s="73">
        <v>0</v>
      </c>
      <c r="J198" s="73">
        <v>0</v>
      </c>
      <c r="K198" s="73">
        <v>0</v>
      </c>
      <c r="L198" s="74">
        <v>1</v>
      </c>
      <c r="M198" s="289" t="s">
        <v>365</v>
      </c>
      <c r="N198" s="268"/>
      <c r="O198" s="268"/>
      <c r="P198" s="268"/>
      <c r="Q198" s="268"/>
      <c r="R198" s="268"/>
      <c r="S198" s="268"/>
      <c r="T198" s="268"/>
      <c r="U198" s="268"/>
      <c r="V198" s="269"/>
      <c r="W198" s="198" t="s">
        <v>289</v>
      </c>
      <c r="X198" s="75">
        <v>42193</v>
      </c>
      <c r="Y198" s="73" t="s">
        <v>132</v>
      </c>
    </row>
    <row r="199" spans="1:25" s="73" customFormat="1" ht="36" customHeight="1" x14ac:dyDescent="0.3">
      <c r="A199" s="248" t="s">
        <v>169</v>
      </c>
      <c r="B199" s="143">
        <v>42191</v>
      </c>
      <c r="C199" s="256">
        <v>17028</v>
      </c>
      <c r="D199" s="149">
        <v>42185</v>
      </c>
      <c r="E199" s="149" t="s">
        <v>177</v>
      </c>
      <c r="G199" s="73">
        <v>11</v>
      </c>
      <c r="H199" s="73">
        <v>1</v>
      </c>
      <c r="I199" s="73">
        <v>0</v>
      </c>
      <c r="J199" s="73">
        <v>0</v>
      </c>
      <c r="K199" s="73">
        <v>1</v>
      </c>
      <c r="L199" s="74">
        <v>0.91666666666666663</v>
      </c>
      <c r="M199" s="289" t="s">
        <v>366</v>
      </c>
      <c r="N199" s="268"/>
      <c r="O199" s="268"/>
      <c r="P199" s="268"/>
      <c r="Q199" s="268"/>
      <c r="R199" s="268"/>
      <c r="S199" s="268"/>
      <c r="T199" s="268"/>
      <c r="U199" s="268"/>
      <c r="V199" s="269"/>
      <c r="W199" s="198" t="s">
        <v>289</v>
      </c>
      <c r="X199" s="75">
        <v>42193</v>
      </c>
      <c r="Y199" s="73" t="s">
        <v>132</v>
      </c>
    </row>
    <row r="200" spans="1:25" s="73" customFormat="1" ht="36" customHeight="1" x14ac:dyDescent="0.3">
      <c r="A200" s="248" t="s">
        <v>169</v>
      </c>
      <c r="B200" s="143">
        <v>42191</v>
      </c>
      <c r="C200" s="256">
        <v>117594</v>
      </c>
      <c r="D200" s="149" t="s">
        <v>170</v>
      </c>
      <c r="E200" s="149" t="s">
        <v>170</v>
      </c>
      <c r="G200" s="73">
        <v>13</v>
      </c>
      <c r="H200" s="73">
        <v>2</v>
      </c>
      <c r="I200" s="73">
        <v>0</v>
      </c>
      <c r="J200" s="73">
        <v>0</v>
      </c>
      <c r="K200" s="73">
        <v>2</v>
      </c>
      <c r="L200" s="74">
        <v>0.8666666666666667</v>
      </c>
      <c r="M200" s="289" t="s">
        <v>367</v>
      </c>
      <c r="N200" s="268"/>
      <c r="O200" s="268"/>
      <c r="P200" s="268"/>
      <c r="Q200" s="268"/>
      <c r="R200" s="268"/>
      <c r="S200" s="268"/>
      <c r="T200" s="268"/>
      <c r="U200" s="268"/>
      <c r="V200" s="269"/>
      <c r="W200" s="198" t="s">
        <v>289</v>
      </c>
      <c r="X200" s="75">
        <v>42193</v>
      </c>
      <c r="Y200" s="73" t="s">
        <v>132</v>
      </c>
    </row>
    <row r="201" spans="1:25" s="73" customFormat="1" ht="36" customHeight="1" x14ac:dyDescent="0.3">
      <c r="A201" s="248" t="s">
        <v>220</v>
      </c>
      <c r="B201" s="143">
        <v>42191</v>
      </c>
      <c r="C201" s="256">
        <v>42842</v>
      </c>
      <c r="D201" s="149">
        <v>42121</v>
      </c>
      <c r="E201" s="149" t="s">
        <v>177</v>
      </c>
      <c r="G201" s="73">
        <v>1</v>
      </c>
      <c r="H201" s="73">
        <v>5</v>
      </c>
      <c r="I201" s="73">
        <v>0</v>
      </c>
      <c r="J201" s="73">
        <v>0</v>
      </c>
      <c r="K201" s="73">
        <v>5</v>
      </c>
      <c r="L201" s="74">
        <v>0.16666666666666666</v>
      </c>
      <c r="M201" s="289" t="s">
        <v>368</v>
      </c>
      <c r="N201" s="268"/>
      <c r="O201" s="268"/>
      <c r="P201" s="268"/>
      <c r="Q201" s="268"/>
      <c r="R201" s="268"/>
      <c r="S201" s="268"/>
      <c r="T201" s="268"/>
      <c r="U201" s="268"/>
      <c r="V201" s="269"/>
      <c r="W201" s="198" t="s">
        <v>289</v>
      </c>
      <c r="X201" s="75">
        <v>42193</v>
      </c>
      <c r="Y201" s="73" t="s">
        <v>132</v>
      </c>
    </row>
    <row r="202" spans="1:25" s="73" customFormat="1" ht="36" customHeight="1" x14ac:dyDescent="0.3">
      <c r="A202" s="248" t="s">
        <v>220</v>
      </c>
      <c r="B202" s="143">
        <v>42193</v>
      </c>
      <c r="C202" s="256">
        <v>113192</v>
      </c>
      <c r="D202" s="149">
        <v>42193</v>
      </c>
      <c r="E202" s="149" t="s">
        <v>177</v>
      </c>
      <c r="G202" s="73">
        <v>11</v>
      </c>
      <c r="H202" s="73">
        <v>2</v>
      </c>
      <c r="I202" s="73">
        <v>2</v>
      </c>
      <c r="J202" s="73">
        <v>0</v>
      </c>
      <c r="K202" s="73">
        <v>0</v>
      </c>
      <c r="L202" s="74">
        <v>1</v>
      </c>
      <c r="M202" s="289" t="s">
        <v>369</v>
      </c>
      <c r="N202" s="268"/>
      <c r="O202" s="268"/>
      <c r="P202" s="268"/>
      <c r="Q202" s="268"/>
      <c r="R202" s="268"/>
      <c r="S202" s="268"/>
      <c r="T202" s="268"/>
      <c r="U202" s="268"/>
      <c r="V202" s="269"/>
      <c r="W202" s="198" t="s">
        <v>289</v>
      </c>
      <c r="X202" s="75">
        <v>42193</v>
      </c>
      <c r="Y202" s="73" t="s">
        <v>132</v>
      </c>
    </row>
    <row r="203" spans="1:25" s="73" customFormat="1" ht="36" customHeight="1" x14ac:dyDescent="0.3">
      <c r="A203" s="248" t="s">
        <v>220</v>
      </c>
      <c r="B203" s="143">
        <v>42193</v>
      </c>
      <c r="C203" s="256">
        <v>85572</v>
      </c>
      <c r="D203" s="149">
        <v>42185</v>
      </c>
      <c r="E203" s="149" t="s">
        <v>177</v>
      </c>
      <c r="G203" s="73">
        <v>13</v>
      </c>
      <c r="H203" s="73">
        <v>2</v>
      </c>
      <c r="I203" s="73">
        <v>0</v>
      </c>
      <c r="J203" s="73">
        <v>0</v>
      </c>
      <c r="K203" s="73">
        <v>2</v>
      </c>
      <c r="L203" s="74">
        <v>0.8666666666666667</v>
      </c>
      <c r="M203" s="289" t="s">
        <v>370</v>
      </c>
      <c r="N203" s="268"/>
      <c r="O203" s="268"/>
      <c r="P203" s="268"/>
      <c r="Q203" s="268"/>
      <c r="R203" s="268"/>
      <c r="S203" s="268"/>
      <c r="T203" s="268"/>
      <c r="U203" s="268"/>
      <c r="V203" s="269"/>
      <c r="W203" s="198" t="s">
        <v>289</v>
      </c>
      <c r="X203" s="75">
        <v>42193</v>
      </c>
      <c r="Y203" s="73" t="s">
        <v>132</v>
      </c>
    </row>
    <row r="204" spans="1:25" s="80" customFormat="1" ht="36" customHeight="1" thickBot="1" x14ac:dyDescent="0.35">
      <c r="A204" s="207" t="s">
        <v>220</v>
      </c>
      <c r="B204" s="208">
        <v>42191</v>
      </c>
      <c r="C204" s="262">
        <v>87794</v>
      </c>
      <c r="D204" s="210">
        <v>42028</v>
      </c>
      <c r="E204" s="210" t="s">
        <v>177</v>
      </c>
      <c r="G204" s="80">
        <v>1</v>
      </c>
      <c r="H204" s="80">
        <v>1</v>
      </c>
      <c r="I204" s="80">
        <v>0</v>
      </c>
      <c r="J204" s="80">
        <v>0</v>
      </c>
      <c r="K204" s="80">
        <v>1</v>
      </c>
      <c r="L204" s="81">
        <v>0.5</v>
      </c>
      <c r="M204" s="290" t="s">
        <v>371</v>
      </c>
      <c r="N204" s="287"/>
      <c r="O204" s="287"/>
      <c r="P204" s="287"/>
      <c r="Q204" s="287"/>
      <c r="R204" s="287"/>
      <c r="S204" s="287"/>
      <c r="T204" s="287"/>
      <c r="U204" s="287"/>
      <c r="V204" s="288"/>
      <c r="W204" s="211" t="s">
        <v>289</v>
      </c>
      <c r="X204" s="82">
        <v>42193</v>
      </c>
      <c r="Y204" s="80" t="s">
        <v>132</v>
      </c>
    </row>
    <row r="205" spans="1:25" ht="36" customHeight="1" x14ac:dyDescent="0.3">
      <c r="A205" s="142" t="s">
        <v>223</v>
      </c>
      <c r="B205" s="143">
        <v>42199</v>
      </c>
      <c r="C205" s="256">
        <v>13261</v>
      </c>
      <c r="D205" s="149">
        <v>42344</v>
      </c>
      <c r="E205" s="149">
        <v>42191</v>
      </c>
      <c r="G205">
        <v>8</v>
      </c>
      <c r="H205">
        <v>1</v>
      </c>
      <c r="I205">
        <v>0</v>
      </c>
      <c r="J205">
        <v>0</v>
      </c>
      <c r="K205">
        <v>1</v>
      </c>
      <c r="L205" s="92">
        <v>0.88888888888888884</v>
      </c>
      <c r="M205" s="289" t="s">
        <v>372</v>
      </c>
      <c r="N205" s="268"/>
      <c r="O205" s="268"/>
      <c r="P205" s="268"/>
      <c r="Q205" s="268"/>
      <c r="R205" s="268"/>
      <c r="S205" s="268"/>
      <c r="T205" s="268"/>
      <c r="U205" s="268"/>
      <c r="V205" s="269"/>
      <c r="W205" s="204" t="s">
        <v>289</v>
      </c>
      <c r="X205" s="93">
        <v>42201</v>
      </c>
      <c r="Y205" t="s">
        <v>181</v>
      </c>
    </row>
    <row r="206" spans="1:25" ht="36" customHeight="1" x14ac:dyDescent="0.3">
      <c r="A206" s="142" t="s">
        <v>223</v>
      </c>
      <c r="B206" s="143">
        <v>42199</v>
      </c>
      <c r="C206" s="256">
        <v>13261</v>
      </c>
      <c r="D206" s="149">
        <v>41979</v>
      </c>
      <c r="E206" s="149">
        <v>42191</v>
      </c>
      <c r="G206">
        <v>10</v>
      </c>
      <c r="H206">
        <v>0</v>
      </c>
      <c r="I206">
        <v>0</v>
      </c>
      <c r="J206">
        <v>0</v>
      </c>
      <c r="K206">
        <v>0</v>
      </c>
      <c r="L206" s="92">
        <v>1</v>
      </c>
      <c r="M206" s="289" t="s">
        <v>245</v>
      </c>
      <c r="N206" s="268"/>
      <c r="O206" s="268"/>
      <c r="P206" s="268"/>
      <c r="Q206" s="268"/>
      <c r="R206" s="268"/>
      <c r="S206" s="268"/>
      <c r="T206" s="268"/>
      <c r="U206" s="268"/>
      <c r="V206" s="269"/>
      <c r="W206" s="198" t="s">
        <v>289</v>
      </c>
      <c r="X206" s="93">
        <v>42201</v>
      </c>
      <c r="Y206" t="s">
        <v>181</v>
      </c>
    </row>
    <row r="207" spans="1:25" ht="36" customHeight="1" x14ac:dyDescent="0.3">
      <c r="A207" s="142" t="s">
        <v>210</v>
      </c>
      <c r="B207" s="143">
        <v>42200</v>
      </c>
      <c r="C207" s="256">
        <v>78688</v>
      </c>
      <c r="D207" s="149">
        <v>42185</v>
      </c>
      <c r="E207" s="149">
        <v>42194</v>
      </c>
      <c r="G207">
        <v>9</v>
      </c>
      <c r="H207">
        <v>0</v>
      </c>
      <c r="I207">
        <v>0</v>
      </c>
      <c r="J207">
        <v>0</v>
      </c>
      <c r="K207">
        <v>0</v>
      </c>
      <c r="L207" s="92">
        <v>1</v>
      </c>
      <c r="M207" s="289" t="s">
        <v>373</v>
      </c>
      <c r="N207" s="268"/>
      <c r="O207" s="268"/>
      <c r="P207" s="268"/>
      <c r="Q207" s="268"/>
      <c r="R207" s="268"/>
      <c r="S207" s="268"/>
      <c r="T207" s="268"/>
      <c r="U207" s="268"/>
      <c r="V207" s="269"/>
      <c r="W207" s="198" t="s">
        <v>289</v>
      </c>
      <c r="X207" s="93">
        <v>42201</v>
      </c>
      <c r="Y207" t="s">
        <v>181</v>
      </c>
    </row>
    <row r="208" spans="1:25" ht="36" customHeight="1" x14ac:dyDescent="0.3">
      <c r="A208" s="142" t="s">
        <v>2</v>
      </c>
      <c r="B208" s="143">
        <v>42199</v>
      </c>
      <c r="C208" s="256">
        <v>59329</v>
      </c>
      <c r="D208" s="149">
        <v>42192</v>
      </c>
      <c r="E208" s="149">
        <v>42202</v>
      </c>
      <c r="G208">
        <v>7</v>
      </c>
      <c r="H208">
        <v>1</v>
      </c>
      <c r="I208">
        <v>0</v>
      </c>
      <c r="J208">
        <v>0</v>
      </c>
      <c r="K208">
        <v>1</v>
      </c>
      <c r="L208" s="92">
        <v>0.875</v>
      </c>
      <c r="M208" s="289" t="s">
        <v>374</v>
      </c>
      <c r="N208" s="268"/>
      <c r="O208" s="268"/>
      <c r="P208" s="268"/>
      <c r="Q208" s="268"/>
      <c r="R208" s="268"/>
      <c r="S208" s="268"/>
      <c r="T208" s="268"/>
      <c r="U208" s="268"/>
      <c r="V208" s="269"/>
      <c r="W208" s="198" t="s">
        <v>289</v>
      </c>
      <c r="X208" s="93">
        <v>42201</v>
      </c>
      <c r="Y208" t="s">
        <v>181</v>
      </c>
    </row>
    <row r="209" spans="1:25" ht="36" customHeight="1" x14ac:dyDescent="0.3">
      <c r="A209" s="142" t="s">
        <v>91</v>
      </c>
      <c r="B209" s="143">
        <v>42200</v>
      </c>
      <c r="C209" s="256">
        <v>6547</v>
      </c>
      <c r="D209" s="149">
        <v>42164</v>
      </c>
      <c r="E209" t="s">
        <v>103</v>
      </c>
      <c r="F209" t="s">
        <v>103</v>
      </c>
      <c r="G209">
        <v>8</v>
      </c>
      <c r="H209">
        <v>1</v>
      </c>
      <c r="I209">
        <v>0</v>
      </c>
      <c r="J209">
        <v>0</v>
      </c>
      <c r="K209">
        <v>1</v>
      </c>
      <c r="L209" s="92">
        <v>0.88888888888888884</v>
      </c>
      <c r="M209" s="289" t="s">
        <v>375</v>
      </c>
      <c r="N209" s="268"/>
      <c r="O209" s="268"/>
      <c r="P209" s="268"/>
      <c r="Q209" s="268"/>
      <c r="R209" s="268"/>
      <c r="S209" s="268"/>
      <c r="T209" s="268"/>
      <c r="U209" s="268"/>
      <c r="V209" s="269"/>
      <c r="W209" s="198" t="s">
        <v>289</v>
      </c>
      <c r="X209" s="93">
        <v>42201</v>
      </c>
      <c r="Y209" t="s">
        <v>181</v>
      </c>
    </row>
    <row r="210" spans="1:25" ht="36" customHeight="1" x14ac:dyDescent="0.3">
      <c r="A210" s="142" t="s">
        <v>156</v>
      </c>
      <c r="B210" s="143">
        <v>42200</v>
      </c>
      <c r="C210" s="256">
        <v>20079</v>
      </c>
      <c r="D210" s="149">
        <v>42188</v>
      </c>
      <c r="E210" t="s">
        <v>103</v>
      </c>
      <c r="F210" t="s">
        <v>103</v>
      </c>
      <c r="G210">
        <v>9</v>
      </c>
      <c r="H210">
        <v>0</v>
      </c>
      <c r="I210">
        <v>0</v>
      </c>
      <c r="J210">
        <v>0</v>
      </c>
      <c r="K210">
        <v>0</v>
      </c>
      <c r="L210" s="92">
        <v>1</v>
      </c>
      <c r="M210" s="289" t="s">
        <v>376</v>
      </c>
      <c r="N210" s="268"/>
      <c r="O210" s="268"/>
      <c r="P210" s="268"/>
      <c r="Q210" s="268"/>
      <c r="R210" s="268"/>
      <c r="S210" s="268"/>
      <c r="T210" s="268"/>
      <c r="U210" s="268"/>
      <c r="V210" s="269"/>
      <c r="W210" s="198" t="s">
        <v>289</v>
      </c>
      <c r="X210" s="93">
        <v>42201</v>
      </c>
      <c r="Y210" t="s">
        <v>181</v>
      </c>
    </row>
    <row r="211" spans="1:25" ht="36" customHeight="1" x14ac:dyDescent="0.3">
      <c r="A211" s="142" t="s">
        <v>172</v>
      </c>
      <c r="B211" s="143">
        <v>42201</v>
      </c>
      <c r="C211" s="256">
        <v>79925</v>
      </c>
      <c r="D211" s="149">
        <v>42199</v>
      </c>
      <c r="E211" t="s">
        <v>103</v>
      </c>
      <c r="F211" t="s">
        <v>103</v>
      </c>
      <c r="G211">
        <v>7</v>
      </c>
      <c r="H211">
        <v>1</v>
      </c>
      <c r="I211">
        <v>0</v>
      </c>
      <c r="J211">
        <v>0</v>
      </c>
      <c r="K211">
        <v>1</v>
      </c>
      <c r="L211" s="92">
        <v>0.875</v>
      </c>
      <c r="M211" s="289" t="s">
        <v>377</v>
      </c>
      <c r="N211" s="268"/>
      <c r="O211" s="268"/>
      <c r="P211" s="268"/>
      <c r="Q211" s="268"/>
      <c r="R211" s="268"/>
      <c r="S211" s="268"/>
      <c r="T211" s="268"/>
      <c r="U211" s="268"/>
      <c r="V211" s="269"/>
      <c r="W211" s="198" t="s">
        <v>289</v>
      </c>
      <c r="X211" s="93">
        <v>42202</v>
      </c>
      <c r="Y211" t="s">
        <v>181</v>
      </c>
    </row>
    <row r="212" spans="1:25" ht="36" customHeight="1" x14ac:dyDescent="0.3">
      <c r="A212" s="142" t="s">
        <v>156</v>
      </c>
      <c r="B212" s="143">
        <v>42201</v>
      </c>
      <c r="C212" s="256">
        <v>103737</v>
      </c>
      <c r="D212" s="149">
        <v>42191</v>
      </c>
      <c r="E212" t="s">
        <v>103</v>
      </c>
      <c r="F212" t="s">
        <v>103</v>
      </c>
      <c r="G212">
        <v>9</v>
      </c>
      <c r="H212">
        <v>0</v>
      </c>
      <c r="I212">
        <v>0</v>
      </c>
      <c r="J212">
        <v>0</v>
      </c>
      <c r="K212">
        <v>0</v>
      </c>
      <c r="L212" s="92">
        <v>1</v>
      </c>
      <c r="M212" s="289" t="s">
        <v>378</v>
      </c>
      <c r="N212" s="268"/>
      <c r="O212" s="268"/>
      <c r="P212" s="268"/>
      <c r="Q212" s="268"/>
      <c r="R212" s="268"/>
      <c r="S212" s="268"/>
      <c r="T212" s="268"/>
      <c r="U212" s="268"/>
      <c r="V212" s="269"/>
      <c r="W212" s="198" t="s">
        <v>289</v>
      </c>
      <c r="X212" s="93">
        <v>42202</v>
      </c>
      <c r="Y212" t="s">
        <v>181</v>
      </c>
    </row>
    <row r="213" spans="1:25" ht="36" customHeight="1" x14ac:dyDescent="0.3">
      <c r="A213" s="142" t="s">
        <v>210</v>
      </c>
      <c r="B213" s="143">
        <v>42201</v>
      </c>
      <c r="C213" s="256">
        <v>25147</v>
      </c>
      <c r="D213" s="149">
        <v>42189</v>
      </c>
      <c r="E213" t="s">
        <v>103</v>
      </c>
      <c r="F213" t="s">
        <v>103</v>
      </c>
      <c r="G213">
        <v>9</v>
      </c>
      <c r="H213">
        <v>5</v>
      </c>
      <c r="I213">
        <v>0</v>
      </c>
      <c r="J213">
        <v>0</v>
      </c>
      <c r="K213">
        <v>5</v>
      </c>
      <c r="L213" s="92">
        <v>0.6428571428571429</v>
      </c>
      <c r="M213" s="326" t="s">
        <v>170</v>
      </c>
      <c r="N213" s="327"/>
      <c r="O213" s="327"/>
      <c r="P213" s="327"/>
      <c r="Q213" s="327"/>
      <c r="R213" s="327"/>
      <c r="S213" s="327"/>
      <c r="T213" s="327"/>
      <c r="U213" s="327"/>
      <c r="V213" s="328"/>
      <c r="W213" s="198" t="s">
        <v>289</v>
      </c>
      <c r="X213" s="93">
        <v>42202</v>
      </c>
      <c r="Y213" t="s">
        <v>181</v>
      </c>
    </row>
    <row r="214" spans="1:25" ht="36" customHeight="1" x14ac:dyDescent="0.3">
      <c r="A214" s="142" t="s">
        <v>2</v>
      </c>
      <c r="B214" s="143">
        <v>42202</v>
      </c>
      <c r="C214" s="256">
        <v>8790</v>
      </c>
      <c r="D214" s="149">
        <v>42193</v>
      </c>
      <c r="E214" t="s">
        <v>103</v>
      </c>
      <c r="F214" t="s">
        <v>103</v>
      </c>
      <c r="G214">
        <v>7</v>
      </c>
      <c r="H214">
        <v>2</v>
      </c>
      <c r="I214">
        <v>0</v>
      </c>
      <c r="J214">
        <v>0</v>
      </c>
      <c r="K214">
        <v>2</v>
      </c>
      <c r="L214" s="92">
        <v>0.77777777777777779</v>
      </c>
      <c r="M214" s="326" t="s">
        <v>170</v>
      </c>
      <c r="N214" s="327"/>
      <c r="O214" s="327"/>
      <c r="P214" s="327"/>
      <c r="Q214" s="327"/>
      <c r="R214" s="327"/>
      <c r="S214" s="327"/>
      <c r="T214" s="327"/>
      <c r="U214" s="327"/>
      <c r="V214" s="328"/>
      <c r="W214" s="198" t="s">
        <v>289</v>
      </c>
      <c r="X214" s="93">
        <v>42202</v>
      </c>
      <c r="Y214" t="s">
        <v>181</v>
      </c>
    </row>
    <row r="215" spans="1:25" ht="36" customHeight="1" x14ac:dyDescent="0.3">
      <c r="A215" s="142" t="s">
        <v>155</v>
      </c>
      <c r="B215" s="143">
        <v>42202</v>
      </c>
      <c r="C215" s="256">
        <v>13133</v>
      </c>
      <c r="D215" s="149">
        <v>42193</v>
      </c>
      <c r="E215" t="s">
        <v>103</v>
      </c>
      <c r="F215" t="s">
        <v>103</v>
      </c>
      <c r="G215">
        <v>9</v>
      </c>
      <c r="H215">
        <v>0</v>
      </c>
      <c r="I215">
        <v>0</v>
      </c>
      <c r="J215">
        <v>0</v>
      </c>
      <c r="K215">
        <v>0</v>
      </c>
      <c r="L215" s="92">
        <v>1</v>
      </c>
      <c r="M215" s="326" t="s">
        <v>170</v>
      </c>
      <c r="N215" s="327"/>
      <c r="O215" s="327"/>
      <c r="P215" s="327"/>
      <c r="Q215" s="327"/>
      <c r="R215" s="327"/>
      <c r="S215" s="327"/>
      <c r="T215" s="327"/>
      <c r="U215" s="327"/>
      <c r="V215" s="328"/>
      <c r="W215" s="198" t="s">
        <v>289</v>
      </c>
      <c r="X215" s="93">
        <v>42202</v>
      </c>
      <c r="Y215" t="s">
        <v>181</v>
      </c>
    </row>
    <row r="216" spans="1:25" ht="36" customHeight="1" x14ac:dyDescent="0.3">
      <c r="A216" s="142" t="s">
        <v>155</v>
      </c>
      <c r="B216" s="143">
        <v>42202</v>
      </c>
      <c r="C216" s="256">
        <v>13133</v>
      </c>
      <c r="D216" s="149">
        <v>42025</v>
      </c>
      <c r="E216" t="s">
        <v>103</v>
      </c>
      <c r="F216" t="s">
        <v>103</v>
      </c>
      <c r="G216">
        <v>9</v>
      </c>
      <c r="H216">
        <v>0</v>
      </c>
      <c r="I216">
        <v>0</v>
      </c>
      <c r="J216">
        <v>0</v>
      </c>
      <c r="K216">
        <v>0</v>
      </c>
      <c r="L216" s="92">
        <v>1</v>
      </c>
      <c r="M216" s="326" t="s">
        <v>170</v>
      </c>
      <c r="N216" s="327"/>
      <c r="O216" s="327"/>
      <c r="P216" s="327"/>
      <c r="Q216" s="327"/>
      <c r="R216" s="327"/>
      <c r="S216" s="327"/>
      <c r="T216" s="327"/>
      <c r="U216" s="327"/>
      <c r="V216" s="328"/>
      <c r="W216" s="198" t="s">
        <v>289</v>
      </c>
      <c r="X216" s="93">
        <v>42202</v>
      </c>
      <c r="Y216" t="s">
        <v>181</v>
      </c>
    </row>
    <row r="217" spans="1:25" ht="36" customHeight="1" x14ac:dyDescent="0.3">
      <c r="A217" s="142" t="s">
        <v>106</v>
      </c>
      <c r="B217" s="143">
        <v>42202</v>
      </c>
      <c r="C217" s="256">
        <v>59369</v>
      </c>
      <c r="D217" s="149">
        <v>42160</v>
      </c>
      <c r="E217" t="s">
        <v>103</v>
      </c>
      <c r="F217" t="s">
        <v>103</v>
      </c>
      <c r="G217">
        <v>9</v>
      </c>
      <c r="H217">
        <v>0</v>
      </c>
      <c r="I217">
        <v>0</v>
      </c>
      <c r="J217">
        <v>0</v>
      </c>
      <c r="K217">
        <v>0</v>
      </c>
      <c r="L217" s="92">
        <v>1</v>
      </c>
      <c r="M217" s="326" t="s">
        <v>170</v>
      </c>
      <c r="N217" s="327"/>
      <c r="O217" s="327"/>
      <c r="P217" s="327"/>
      <c r="Q217" s="327"/>
      <c r="R217" s="327"/>
      <c r="S217" s="327"/>
      <c r="T217" s="327"/>
      <c r="U217" s="327"/>
      <c r="V217" s="328"/>
      <c r="W217" s="198" t="s">
        <v>289</v>
      </c>
      <c r="X217" s="93">
        <v>42202</v>
      </c>
      <c r="Y217" t="s">
        <v>181</v>
      </c>
    </row>
    <row r="218" spans="1:25" ht="36" customHeight="1" thickBot="1" x14ac:dyDescent="0.35">
      <c r="A218" s="234" t="s">
        <v>106</v>
      </c>
      <c r="B218" s="235">
        <v>42202</v>
      </c>
      <c r="C218" s="263">
        <v>75376</v>
      </c>
      <c r="D218" s="237">
        <v>42201</v>
      </c>
      <c r="E218" t="s">
        <v>103</v>
      </c>
      <c r="F218" t="s">
        <v>103</v>
      </c>
      <c r="G218">
        <v>7</v>
      </c>
      <c r="H218">
        <v>0</v>
      </c>
      <c r="I218">
        <v>0</v>
      </c>
      <c r="J218">
        <v>0</v>
      </c>
      <c r="K218">
        <v>0</v>
      </c>
      <c r="L218" s="92">
        <v>1</v>
      </c>
      <c r="M218" s="329" t="s">
        <v>170</v>
      </c>
      <c r="N218" s="330"/>
      <c r="O218" s="330"/>
      <c r="P218" s="330"/>
      <c r="Q218" s="330"/>
      <c r="R218" s="330"/>
      <c r="S218" s="330"/>
      <c r="T218" s="330"/>
      <c r="U218" s="330"/>
      <c r="V218" s="331"/>
      <c r="W218" s="238" t="s">
        <v>289</v>
      </c>
      <c r="X218" s="93">
        <v>42202</v>
      </c>
      <c r="Y218" t="s">
        <v>181</v>
      </c>
    </row>
    <row r="219" spans="1:25" s="68" customFormat="1" ht="36" customHeight="1" x14ac:dyDescent="0.3">
      <c r="A219" s="239" t="s">
        <v>220</v>
      </c>
      <c r="B219" s="240">
        <v>42202</v>
      </c>
      <c r="C219" s="261">
        <v>95924</v>
      </c>
      <c r="D219" s="242">
        <v>42202</v>
      </c>
      <c r="E219" s="68" t="s">
        <v>103</v>
      </c>
      <c r="F219" s="68" t="s">
        <v>103</v>
      </c>
      <c r="G219" s="68">
        <v>8</v>
      </c>
      <c r="H219" s="68">
        <v>2</v>
      </c>
      <c r="I219" s="68">
        <v>0</v>
      </c>
      <c r="J219" s="68">
        <v>0</v>
      </c>
      <c r="K219" s="68">
        <v>2</v>
      </c>
      <c r="L219" s="69">
        <v>0.8</v>
      </c>
      <c r="M219" s="332" t="s">
        <v>170</v>
      </c>
      <c r="N219" s="333"/>
      <c r="O219" s="333"/>
      <c r="P219" s="333"/>
      <c r="Q219" s="333"/>
      <c r="R219" s="333"/>
      <c r="S219" s="333"/>
      <c r="T219" s="333"/>
      <c r="U219" s="333"/>
      <c r="V219" s="334"/>
      <c r="W219" s="243" t="s">
        <v>289</v>
      </c>
      <c r="X219" s="70">
        <v>42205</v>
      </c>
      <c r="Y219" s="68" t="s">
        <v>132</v>
      </c>
    </row>
    <row r="220" spans="1:25" s="73" customFormat="1" ht="36" customHeight="1" x14ac:dyDescent="0.3">
      <c r="A220" s="248" t="s">
        <v>106</v>
      </c>
      <c r="B220" s="143">
        <v>42209</v>
      </c>
      <c r="C220" s="256">
        <v>105294</v>
      </c>
      <c r="D220" s="149">
        <v>42212</v>
      </c>
      <c r="E220" s="149" t="s">
        <v>177</v>
      </c>
      <c r="F220" s="73" t="s">
        <v>4</v>
      </c>
      <c r="G220" s="73">
        <v>16</v>
      </c>
      <c r="H220" s="73">
        <v>0</v>
      </c>
      <c r="I220" s="73">
        <v>0</v>
      </c>
      <c r="J220" s="73">
        <v>0</v>
      </c>
      <c r="K220" s="73">
        <v>0</v>
      </c>
      <c r="L220" s="74">
        <v>1</v>
      </c>
      <c r="M220" s="289" t="s">
        <v>9</v>
      </c>
      <c r="N220" s="268"/>
      <c r="O220" s="268"/>
      <c r="P220" s="268"/>
      <c r="Q220" s="268"/>
      <c r="R220" s="268"/>
      <c r="S220" s="268"/>
      <c r="T220" s="268"/>
      <c r="U220" s="268"/>
      <c r="V220" s="269"/>
      <c r="W220" s="198" t="s">
        <v>289</v>
      </c>
      <c r="X220" s="75">
        <v>42209</v>
      </c>
      <c r="Y220" s="73" t="s">
        <v>313</v>
      </c>
    </row>
    <row r="221" spans="1:25" s="73" customFormat="1" ht="36" customHeight="1" x14ac:dyDescent="0.3">
      <c r="A221" s="248" t="s">
        <v>106</v>
      </c>
      <c r="B221" s="143">
        <v>42209</v>
      </c>
      <c r="C221" s="256">
        <v>108664</v>
      </c>
      <c r="D221" s="149">
        <v>42200</v>
      </c>
      <c r="E221" s="149" t="s">
        <v>177</v>
      </c>
      <c r="F221" s="73" t="s">
        <v>196</v>
      </c>
      <c r="G221" s="73">
        <v>10</v>
      </c>
      <c r="H221" s="73">
        <v>0</v>
      </c>
      <c r="I221" s="73">
        <v>0</v>
      </c>
      <c r="J221" s="73">
        <v>0</v>
      </c>
      <c r="K221" s="73">
        <v>0</v>
      </c>
      <c r="L221" s="74">
        <v>1</v>
      </c>
      <c r="M221" s="289" t="s">
        <v>171</v>
      </c>
      <c r="N221" s="268"/>
      <c r="O221" s="268"/>
      <c r="P221" s="268"/>
      <c r="Q221" s="268"/>
      <c r="R221" s="268"/>
      <c r="S221" s="268"/>
      <c r="T221" s="268"/>
      <c r="U221" s="268"/>
      <c r="V221" s="269"/>
      <c r="W221" s="198" t="s">
        <v>289</v>
      </c>
      <c r="X221" s="75">
        <v>42209</v>
      </c>
      <c r="Y221" s="73" t="s">
        <v>313</v>
      </c>
    </row>
    <row r="222" spans="1:25" s="73" customFormat="1" ht="36" customHeight="1" x14ac:dyDescent="0.3">
      <c r="A222" s="248" t="s">
        <v>172</v>
      </c>
      <c r="B222" s="143" t="s">
        <v>380</v>
      </c>
      <c r="C222" s="256">
        <v>9465</v>
      </c>
      <c r="D222" s="149">
        <v>42202</v>
      </c>
      <c r="E222" s="149">
        <v>42205</v>
      </c>
      <c r="F222" s="73" t="s">
        <v>196</v>
      </c>
      <c r="G222" s="73">
        <v>10</v>
      </c>
      <c r="H222" s="73">
        <v>0</v>
      </c>
      <c r="I222" s="73">
        <v>0</v>
      </c>
      <c r="J222" s="73">
        <v>0</v>
      </c>
      <c r="K222" s="73">
        <v>0</v>
      </c>
      <c r="L222" s="74">
        <v>1</v>
      </c>
      <c r="M222" s="289" t="s">
        <v>9</v>
      </c>
      <c r="N222" s="268"/>
      <c r="O222" s="268"/>
      <c r="P222" s="268"/>
      <c r="Q222" s="268"/>
      <c r="R222" s="268"/>
      <c r="S222" s="268"/>
      <c r="T222" s="268"/>
      <c r="U222" s="268"/>
      <c r="V222" s="269"/>
      <c r="W222" s="198" t="s">
        <v>289</v>
      </c>
      <c r="X222" s="75">
        <v>42209</v>
      </c>
      <c r="Y222" s="73" t="s">
        <v>313</v>
      </c>
    </row>
    <row r="223" spans="1:25" s="73" customFormat="1" ht="36" customHeight="1" x14ac:dyDescent="0.3">
      <c r="A223" s="248" t="s">
        <v>172</v>
      </c>
      <c r="B223" s="143">
        <v>42209</v>
      </c>
      <c r="C223" s="256">
        <v>28506</v>
      </c>
      <c r="D223" s="149">
        <v>42209</v>
      </c>
      <c r="E223" s="149">
        <v>42209</v>
      </c>
      <c r="F223" s="73" t="s">
        <v>196</v>
      </c>
      <c r="G223" s="73">
        <v>17</v>
      </c>
      <c r="H223" s="73">
        <v>2</v>
      </c>
      <c r="I223" s="73">
        <v>0</v>
      </c>
      <c r="J223" s="73">
        <v>0</v>
      </c>
      <c r="K223" s="73">
        <v>2</v>
      </c>
      <c r="L223" s="74">
        <v>0.89473684210526316</v>
      </c>
      <c r="M223" s="289" t="s">
        <v>381</v>
      </c>
      <c r="N223" s="268"/>
      <c r="O223" s="268"/>
      <c r="P223" s="268"/>
      <c r="Q223" s="268"/>
      <c r="R223" s="268"/>
      <c r="S223" s="268"/>
      <c r="T223" s="268"/>
      <c r="U223" s="268"/>
      <c r="V223" s="269"/>
      <c r="W223" s="198" t="s">
        <v>289</v>
      </c>
      <c r="X223" s="75">
        <v>42209</v>
      </c>
      <c r="Y223" s="73" t="s">
        <v>313</v>
      </c>
    </row>
    <row r="224" spans="1:25" s="73" customFormat="1" ht="36" customHeight="1" x14ac:dyDescent="0.3">
      <c r="A224" s="248" t="s">
        <v>382</v>
      </c>
      <c r="B224" s="143">
        <v>42209</v>
      </c>
      <c r="C224" s="256">
        <v>7241</v>
      </c>
      <c r="D224" s="149">
        <v>42205</v>
      </c>
      <c r="E224" s="149" t="s">
        <v>177</v>
      </c>
      <c r="F224" s="73" t="s">
        <v>196</v>
      </c>
      <c r="G224" s="73">
        <v>15</v>
      </c>
      <c r="H224" s="73">
        <v>0</v>
      </c>
      <c r="I224" s="73">
        <v>0</v>
      </c>
      <c r="J224" s="73">
        <v>0</v>
      </c>
      <c r="K224" s="73">
        <v>0</v>
      </c>
      <c r="L224" s="74">
        <v>1</v>
      </c>
      <c r="M224" s="289" t="s">
        <v>383</v>
      </c>
      <c r="N224" s="268"/>
      <c r="O224" s="268"/>
      <c r="P224" s="268"/>
      <c r="Q224" s="268"/>
      <c r="R224" s="268"/>
      <c r="S224" s="268"/>
      <c r="T224" s="268"/>
      <c r="U224" s="268"/>
      <c r="V224" s="269"/>
      <c r="W224" s="198" t="s">
        <v>289</v>
      </c>
      <c r="X224" s="75">
        <v>42209</v>
      </c>
      <c r="Y224" s="73" t="s">
        <v>313</v>
      </c>
    </row>
    <row r="225" spans="1:25" s="73" customFormat="1" ht="36" customHeight="1" x14ac:dyDescent="0.3">
      <c r="A225" s="248" t="s">
        <v>157</v>
      </c>
      <c r="B225" s="143">
        <v>42209</v>
      </c>
      <c r="C225" s="256">
        <v>46174</v>
      </c>
      <c r="D225" s="149" t="s">
        <v>9</v>
      </c>
      <c r="E225" s="149" t="s">
        <v>9</v>
      </c>
      <c r="F225" s="73" t="s">
        <v>520</v>
      </c>
      <c r="G225" s="73">
        <v>16</v>
      </c>
      <c r="H225" s="73">
        <v>0</v>
      </c>
      <c r="I225" s="73">
        <v>0</v>
      </c>
      <c r="J225" s="73">
        <v>0</v>
      </c>
      <c r="K225" s="73">
        <v>0</v>
      </c>
      <c r="L225" s="74">
        <v>1</v>
      </c>
      <c r="M225" s="289" t="s">
        <v>384</v>
      </c>
      <c r="N225" s="268"/>
      <c r="O225" s="268"/>
      <c r="P225" s="268"/>
      <c r="Q225" s="268"/>
      <c r="R225" s="268"/>
      <c r="S225" s="268"/>
      <c r="T225" s="268"/>
      <c r="U225" s="268"/>
      <c r="V225" s="269"/>
      <c r="W225" s="198" t="s">
        <v>289</v>
      </c>
      <c r="X225" s="75">
        <v>42209</v>
      </c>
      <c r="Y225" s="73" t="s">
        <v>313</v>
      </c>
    </row>
    <row r="226" spans="1:25" s="73" customFormat="1" ht="36" customHeight="1" x14ac:dyDescent="0.3">
      <c r="A226" s="248" t="s">
        <v>156</v>
      </c>
      <c r="B226" s="143">
        <v>42209</v>
      </c>
      <c r="C226" s="256">
        <v>17067</v>
      </c>
      <c r="D226" s="149">
        <v>42205</v>
      </c>
      <c r="E226" s="149" t="s">
        <v>177</v>
      </c>
      <c r="F226" s="73" t="s">
        <v>196</v>
      </c>
      <c r="G226" s="73">
        <v>14</v>
      </c>
      <c r="H226" s="73">
        <v>3</v>
      </c>
      <c r="I226" s="73">
        <v>0</v>
      </c>
      <c r="J226" s="73">
        <v>0</v>
      </c>
      <c r="K226" s="73">
        <v>3</v>
      </c>
      <c r="L226" s="74">
        <v>0</v>
      </c>
      <c r="M226" s="289" t="s">
        <v>385</v>
      </c>
      <c r="N226" s="268"/>
      <c r="O226" s="268"/>
      <c r="P226" s="268"/>
      <c r="Q226" s="268"/>
      <c r="R226" s="268"/>
      <c r="S226" s="268"/>
      <c r="T226" s="268"/>
      <c r="U226" s="268"/>
      <c r="V226" s="269"/>
      <c r="W226" s="198" t="s">
        <v>289</v>
      </c>
      <c r="X226" s="75">
        <v>42209</v>
      </c>
      <c r="Y226" s="73" t="s">
        <v>313</v>
      </c>
    </row>
    <row r="227" spans="1:25" s="73" customFormat="1" ht="36" customHeight="1" x14ac:dyDescent="0.3">
      <c r="A227" s="248" t="s">
        <v>215</v>
      </c>
      <c r="B227" s="143">
        <v>42209</v>
      </c>
      <c r="C227" s="256">
        <v>124998</v>
      </c>
      <c r="D227" s="149">
        <v>42205</v>
      </c>
      <c r="E227" s="149">
        <v>42206</v>
      </c>
      <c r="F227" s="73" t="s">
        <v>196</v>
      </c>
      <c r="G227" s="73">
        <v>17</v>
      </c>
      <c r="H227" s="73">
        <v>0</v>
      </c>
      <c r="I227" s="73">
        <v>0</v>
      </c>
      <c r="J227" s="73">
        <v>0</v>
      </c>
      <c r="K227" s="73">
        <v>0</v>
      </c>
      <c r="L227" s="74">
        <v>1</v>
      </c>
      <c r="M227" s="289" t="s">
        <v>386</v>
      </c>
      <c r="N227" s="268"/>
      <c r="O227" s="268"/>
      <c r="P227" s="268"/>
      <c r="Q227" s="268"/>
      <c r="R227" s="268"/>
      <c r="S227" s="268"/>
      <c r="T227" s="268"/>
      <c r="U227" s="268"/>
      <c r="V227" s="269"/>
      <c r="W227" s="198" t="s">
        <v>289</v>
      </c>
      <c r="X227" s="75">
        <v>42209</v>
      </c>
      <c r="Y227" s="73" t="s">
        <v>313</v>
      </c>
    </row>
    <row r="228" spans="1:25" s="73" customFormat="1" ht="36" customHeight="1" x14ac:dyDescent="0.3">
      <c r="A228" s="248" t="s">
        <v>220</v>
      </c>
      <c r="B228" s="143">
        <v>42209</v>
      </c>
      <c r="C228" s="256">
        <v>7594</v>
      </c>
      <c r="D228" s="149">
        <v>42038</v>
      </c>
      <c r="E228" s="149">
        <v>42205</v>
      </c>
      <c r="F228" s="73" t="s">
        <v>196</v>
      </c>
      <c r="G228" s="73">
        <v>11</v>
      </c>
      <c r="H228" s="73">
        <v>5</v>
      </c>
      <c r="I228" s="73">
        <v>0</v>
      </c>
      <c r="J228" s="73">
        <v>0</v>
      </c>
      <c r="K228" s="73">
        <v>5</v>
      </c>
      <c r="L228" s="74">
        <v>0</v>
      </c>
      <c r="M228" s="289" t="s">
        <v>387</v>
      </c>
      <c r="N228" s="268"/>
      <c r="O228" s="268"/>
      <c r="P228" s="268"/>
      <c r="Q228" s="268"/>
      <c r="R228" s="268"/>
      <c r="S228" s="268"/>
      <c r="T228" s="268"/>
      <c r="U228" s="268"/>
      <c r="V228" s="269"/>
      <c r="W228" s="198" t="s">
        <v>289</v>
      </c>
      <c r="X228" s="75">
        <v>42209</v>
      </c>
      <c r="Y228" s="73" t="s">
        <v>313</v>
      </c>
    </row>
    <row r="229" spans="1:25" s="73" customFormat="1" ht="36" customHeight="1" x14ac:dyDescent="0.3">
      <c r="A229" s="248" t="s">
        <v>220</v>
      </c>
      <c r="B229" s="143">
        <v>42209</v>
      </c>
      <c r="C229" s="256">
        <v>244351</v>
      </c>
      <c r="D229" s="149">
        <v>42206</v>
      </c>
      <c r="E229" s="149">
        <v>42206</v>
      </c>
      <c r="F229" s="73" t="s">
        <v>196</v>
      </c>
      <c r="G229" s="73">
        <v>15</v>
      </c>
      <c r="H229" s="73">
        <v>1</v>
      </c>
      <c r="I229" s="73">
        <v>0</v>
      </c>
      <c r="J229" s="73">
        <v>0</v>
      </c>
      <c r="K229" s="73">
        <v>1</v>
      </c>
      <c r="L229" s="74">
        <v>0.9375</v>
      </c>
      <c r="M229" s="289" t="s">
        <v>388</v>
      </c>
      <c r="N229" s="268"/>
      <c r="O229" s="268"/>
      <c r="P229" s="268"/>
      <c r="Q229" s="268"/>
      <c r="R229" s="268"/>
      <c r="S229" s="268"/>
      <c r="T229" s="268"/>
      <c r="U229" s="268"/>
      <c r="V229" s="269"/>
      <c r="W229" s="198" t="s">
        <v>289</v>
      </c>
      <c r="X229" s="75">
        <v>42209</v>
      </c>
      <c r="Y229" s="73" t="s">
        <v>313</v>
      </c>
    </row>
    <row r="230" spans="1:25" s="73" customFormat="1" ht="36" customHeight="1" x14ac:dyDescent="0.3">
      <c r="A230" s="248" t="s">
        <v>210</v>
      </c>
      <c r="B230" s="143">
        <v>42209</v>
      </c>
      <c r="C230" s="256">
        <v>24754</v>
      </c>
      <c r="D230" s="149">
        <v>42205</v>
      </c>
      <c r="E230" s="149" t="s">
        <v>177</v>
      </c>
      <c r="F230" s="73" t="s">
        <v>196</v>
      </c>
      <c r="G230" s="73">
        <v>16</v>
      </c>
      <c r="H230" s="73">
        <v>0</v>
      </c>
      <c r="I230" s="73">
        <v>0</v>
      </c>
      <c r="J230" s="73">
        <v>0</v>
      </c>
      <c r="K230" s="73">
        <v>0</v>
      </c>
      <c r="L230" s="74">
        <v>1</v>
      </c>
      <c r="M230" s="289" t="s">
        <v>389</v>
      </c>
      <c r="N230" s="268"/>
      <c r="O230" s="268"/>
      <c r="P230" s="268"/>
      <c r="Q230" s="268"/>
      <c r="R230" s="268"/>
      <c r="S230" s="268"/>
      <c r="T230" s="268"/>
      <c r="U230" s="268"/>
      <c r="V230" s="269"/>
      <c r="W230" s="198" t="s">
        <v>289</v>
      </c>
      <c r="X230" s="75">
        <v>42209</v>
      </c>
      <c r="Y230" s="73" t="s">
        <v>313</v>
      </c>
    </row>
    <row r="231" spans="1:25" s="73" customFormat="1" ht="36" customHeight="1" x14ac:dyDescent="0.3">
      <c r="A231" s="248" t="s">
        <v>210</v>
      </c>
      <c r="B231" s="143">
        <v>42209</v>
      </c>
      <c r="C231" s="256">
        <v>14852</v>
      </c>
      <c r="D231" s="149">
        <v>42202</v>
      </c>
      <c r="E231" s="149" t="s">
        <v>177</v>
      </c>
      <c r="F231" s="73" t="s">
        <v>196</v>
      </c>
      <c r="G231" s="73">
        <v>11</v>
      </c>
      <c r="H231" s="73">
        <v>3</v>
      </c>
      <c r="I231" s="73">
        <v>0</v>
      </c>
      <c r="J231" s="73">
        <v>0</v>
      </c>
      <c r="K231" s="73">
        <v>3</v>
      </c>
      <c r="L231" s="74">
        <v>0.7857142857142857</v>
      </c>
      <c r="M231" s="289" t="s">
        <v>390</v>
      </c>
      <c r="N231" s="268"/>
      <c r="O231" s="268"/>
      <c r="P231" s="268"/>
      <c r="Q231" s="268"/>
      <c r="R231" s="268"/>
      <c r="S231" s="268"/>
      <c r="T231" s="268"/>
      <c r="U231" s="268"/>
      <c r="V231" s="269"/>
      <c r="W231" s="198" t="s">
        <v>289</v>
      </c>
      <c r="X231" s="75">
        <v>42209</v>
      </c>
      <c r="Y231" s="73" t="s">
        <v>313</v>
      </c>
    </row>
    <row r="232" spans="1:25" s="73" customFormat="1" ht="36" customHeight="1" x14ac:dyDescent="0.3">
      <c r="A232" s="248" t="s">
        <v>223</v>
      </c>
      <c r="B232" s="143">
        <v>42209</v>
      </c>
      <c r="C232" s="256">
        <v>194525</v>
      </c>
      <c r="D232" s="149">
        <v>42082</v>
      </c>
      <c r="E232" s="149" t="s">
        <v>177</v>
      </c>
      <c r="F232" s="73" t="s">
        <v>196</v>
      </c>
      <c r="G232" s="73">
        <v>15</v>
      </c>
      <c r="H232" s="73">
        <v>0</v>
      </c>
      <c r="I232" s="73">
        <v>0</v>
      </c>
      <c r="J232" s="73">
        <v>0</v>
      </c>
      <c r="K232" s="73">
        <v>0</v>
      </c>
      <c r="L232" s="74">
        <v>1</v>
      </c>
      <c r="M232" s="289" t="s">
        <v>391</v>
      </c>
      <c r="N232" s="268"/>
      <c r="O232" s="268"/>
      <c r="P232" s="268"/>
      <c r="Q232" s="268"/>
      <c r="R232" s="268"/>
      <c r="S232" s="268"/>
      <c r="T232" s="268"/>
      <c r="U232" s="268"/>
      <c r="V232" s="269"/>
      <c r="W232" s="198" t="s">
        <v>289</v>
      </c>
      <c r="X232" s="75">
        <v>42209</v>
      </c>
      <c r="Y232" s="73" t="s">
        <v>313</v>
      </c>
    </row>
    <row r="233" spans="1:25" s="73" customFormat="1" ht="36" customHeight="1" x14ac:dyDescent="0.3">
      <c r="A233" s="248" t="s">
        <v>223</v>
      </c>
      <c r="B233" s="143">
        <v>42209</v>
      </c>
      <c r="C233" s="256">
        <v>34400</v>
      </c>
      <c r="D233" s="149" t="s">
        <v>170</v>
      </c>
      <c r="E233" s="149" t="s">
        <v>177</v>
      </c>
      <c r="F233" s="73" t="s">
        <v>196</v>
      </c>
      <c r="G233" s="73">
        <v>11</v>
      </c>
      <c r="H233" s="73">
        <v>0</v>
      </c>
      <c r="I233" s="73">
        <v>0</v>
      </c>
      <c r="J233" s="73">
        <v>0</v>
      </c>
      <c r="K233" s="73">
        <v>0</v>
      </c>
      <c r="L233" s="74">
        <v>1</v>
      </c>
      <c r="M233" s="289" t="s">
        <v>392</v>
      </c>
      <c r="N233" s="268"/>
      <c r="O233" s="268"/>
      <c r="P233" s="268"/>
      <c r="Q233" s="268"/>
      <c r="R233" s="268"/>
      <c r="S233" s="268"/>
      <c r="T233" s="268"/>
      <c r="U233" s="268"/>
      <c r="V233" s="269"/>
      <c r="W233" s="198" t="s">
        <v>289</v>
      </c>
      <c r="X233" s="75">
        <v>42209</v>
      </c>
      <c r="Y233" s="73" t="s">
        <v>313</v>
      </c>
    </row>
    <row r="234" spans="1:25" s="73" customFormat="1" ht="36" customHeight="1" x14ac:dyDescent="0.3">
      <c r="A234" s="248" t="s">
        <v>2</v>
      </c>
      <c r="B234" s="143">
        <v>42209</v>
      </c>
      <c r="C234" s="256">
        <v>17324</v>
      </c>
      <c r="D234" s="149">
        <v>42186</v>
      </c>
      <c r="E234" s="149" t="s">
        <v>177</v>
      </c>
      <c r="F234" s="73" t="s">
        <v>196</v>
      </c>
      <c r="G234" s="73">
        <v>15</v>
      </c>
      <c r="H234" s="73">
        <v>4</v>
      </c>
      <c r="I234" s="73">
        <v>0</v>
      </c>
      <c r="J234" s="73">
        <v>0</v>
      </c>
      <c r="K234" s="73">
        <v>4</v>
      </c>
      <c r="L234" s="74">
        <v>0</v>
      </c>
      <c r="M234" s="289" t="s">
        <v>393</v>
      </c>
      <c r="N234" s="268"/>
      <c r="O234" s="268"/>
      <c r="P234" s="268"/>
      <c r="Q234" s="268"/>
      <c r="R234" s="268"/>
      <c r="S234" s="268"/>
      <c r="T234" s="268"/>
      <c r="U234" s="268"/>
      <c r="V234" s="269"/>
      <c r="W234" s="198" t="s">
        <v>289</v>
      </c>
      <c r="X234" s="75">
        <v>42209</v>
      </c>
      <c r="Y234" s="73" t="s">
        <v>313</v>
      </c>
    </row>
    <row r="235" spans="1:25" s="73" customFormat="1" ht="36" customHeight="1" x14ac:dyDescent="0.3">
      <c r="A235" s="248" t="s">
        <v>2</v>
      </c>
      <c r="B235" s="143">
        <v>42209</v>
      </c>
      <c r="C235" s="256">
        <v>102428</v>
      </c>
      <c r="D235" s="149">
        <v>42201</v>
      </c>
      <c r="E235" s="149" t="s">
        <v>177</v>
      </c>
      <c r="F235" s="73" t="s">
        <v>196</v>
      </c>
      <c r="G235" s="73">
        <v>15</v>
      </c>
      <c r="H235" s="73">
        <v>2</v>
      </c>
      <c r="I235" s="73">
        <v>0</v>
      </c>
      <c r="J235" s="73">
        <v>0</v>
      </c>
      <c r="K235" s="73">
        <v>2</v>
      </c>
      <c r="L235" s="74">
        <v>0</v>
      </c>
      <c r="M235" s="289" t="s">
        <v>394</v>
      </c>
      <c r="N235" s="268"/>
      <c r="O235" s="268"/>
      <c r="P235" s="268"/>
      <c r="Q235" s="268"/>
      <c r="R235" s="268"/>
      <c r="S235" s="268"/>
      <c r="T235" s="268"/>
      <c r="U235" s="268"/>
      <c r="V235" s="269"/>
      <c r="W235" s="198" t="s">
        <v>289</v>
      </c>
      <c r="X235" s="75">
        <v>42209</v>
      </c>
      <c r="Y235" s="73" t="s">
        <v>313</v>
      </c>
    </row>
    <row r="236" spans="1:25" s="73" customFormat="1" ht="36" customHeight="1" x14ac:dyDescent="0.3">
      <c r="A236" s="248" t="s">
        <v>395</v>
      </c>
      <c r="B236" s="143">
        <v>42209</v>
      </c>
      <c r="C236" s="256">
        <v>29272</v>
      </c>
      <c r="D236" s="149">
        <v>42177</v>
      </c>
      <c r="E236" s="149" t="s">
        <v>177</v>
      </c>
      <c r="G236" s="73">
        <v>15</v>
      </c>
      <c r="H236" s="73">
        <v>0</v>
      </c>
      <c r="I236" s="73">
        <v>0</v>
      </c>
      <c r="J236" s="73">
        <v>0</v>
      </c>
      <c r="K236" s="73">
        <v>0</v>
      </c>
      <c r="L236" s="74">
        <v>1</v>
      </c>
      <c r="M236" s="289" t="s">
        <v>213</v>
      </c>
      <c r="N236" s="268"/>
      <c r="O236" s="268"/>
      <c r="P236" s="268"/>
      <c r="Q236" s="268"/>
      <c r="R236" s="268"/>
      <c r="S236" s="268"/>
      <c r="T236" s="268"/>
      <c r="U236" s="268"/>
      <c r="V236" s="269"/>
      <c r="W236" s="198" t="s">
        <v>289</v>
      </c>
      <c r="X236" s="75">
        <v>42209</v>
      </c>
      <c r="Y236" s="73" t="s">
        <v>313</v>
      </c>
    </row>
    <row r="237" spans="1:25" s="80" customFormat="1" ht="36" customHeight="1" thickBot="1" x14ac:dyDescent="0.35">
      <c r="A237" s="207" t="s">
        <v>395</v>
      </c>
      <c r="B237" s="208">
        <v>42209</v>
      </c>
      <c r="C237" s="262">
        <v>16068</v>
      </c>
      <c r="D237" s="210">
        <v>42187</v>
      </c>
      <c r="E237" s="210" t="s">
        <v>177</v>
      </c>
      <c r="G237" s="80">
        <v>15</v>
      </c>
      <c r="H237" s="80">
        <v>0</v>
      </c>
      <c r="I237" s="80">
        <v>0</v>
      </c>
      <c r="J237" s="80">
        <v>0</v>
      </c>
      <c r="K237" s="80">
        <v>0</v>
      </c>
      <c r="L237" s="81">
        <v>1</v>
      </c>
      <c r="M237" s="290" t="s">
        <v>396</v>
      </c>
      <c r="N237" s="287"/>
      <c r="O237" s="287"/>
      <c r="P237" s="287"/>
      <c r="Q237" s="287"/>
      <c r="R237" s="287"/>
      <c r="S237" s="287"/>
      <c r="T237" s="287"/>
      <c r="U237" s="287"/>
      <c r="V237" s="288"/>
      <c r="W237" s="211" t="s">
        <v>289</v>
      </c>
      <c r="X237" s="82">
        <v>42209</v>
      </c>
      <c r="Y237" s="80" t="s">
        <v>313</v>
      </c>
    </row>
    <row r="238" spans="1:25" ht="36" customHeight="1" x14ac:dyDescent="0.3">
      <c r="A238" s="142" t="s">
        <v>2</v>
      </c>
      <c r="B238" s="143">
        <v>42216</v>
      </c>
      <c r="C238" s="256">
        <v>28179</v>
      </c>
      <c r="D238" s="149">
        <v>42205</v>
      </c>
      <c r="E238" s="149" t="s">
        <v>177</v>
      </c>
      <c r="G238">
        <v>17</v>
      </c>
      <c r="H238">
        <v>1</v>
      </c>
      <c r="I238">
        <v>0</v>
      </c>
      <c r="J238">
        <v>0</v>
      </c>
      <c r="K238">
        <v>1</v>
      </c>
      <c r="L238" s="92">
        <v>0</v>
      </c>
      <c r="M238" s="289" t="s">
        <v>397</v>
      </c>
      <c r="N238" s="268"/>
      <c r="O238" s="268"/>
      <c r="P238" s="268"/>
      <c r="Q238" s="268"/>
      <c r="R238" s="268"/>
      <c r="S238" s="268"/>
      <c r="T238" s="268"/>
      <c r="U238" s="268"/>
      <c r="V238" s="269"/>
      <c r="W238" s="204" t="s">
        <v>289</v>
      </c>
      <c r="X238" s="93">
        <v>42216</v>
      </c>
      <c r="Y238" t="s">
        <v>132</v>
      </c>
    </row>
    <row r="239" spans="1:25" ht="36" customHeight="1" x14ac:dyDescent="0.3">
      <c r="A239" s="142" t="s">
        <v>2</v>
      </c>
      <c r="B239" s="143">
        <v>42216</v>
      </c>
      <c r="C239" s="256">
        <v>10145</v>
      </c>
      <c r="D239" s="149">
        <v>42206</v>
      </c>
      <c r="E239" s="149">
        <v>42210</v>
      </c>
      <c r="G239">
        <v>3</v>
      </c>
      <c r="H239">
        <v>1</v>
      </c>
      <c r="I239">
        <v>0</v>
      </c>
      <c r="J239">
        <v>0</v>
      </c>
      <c r="K239">
        <v>1</v>
      </c>
      <c r="L239" s="92">
        <v>0.75</v>
      </c>
      <c r="M239" s="289" t="s">
        <v>9</v>
      </c>
      <c r="N239" s="268"/>
      <c r="O239" s="268"/>
      <c r="P239" s="268"/>
      <c r="Q239" s="268"/>
      <c r="R239" s="268"/>
      <c r="S239" s="268"/>
      <c r="T239" s="268"/>
      <c r="U239" s="268"/>
      <c r="V239" s="269"/>
      <c r="W239" s="198" t="s">
        <v>289</v>
      </c>
      <c r="X239" s="93">
        <v>42216</v>
      </c>
      <c r="Y239" t="s">
        <v>132</v>
      </c>
    </row>
    <row r="240" spans="1:25" ht="36" customHeight="1" x14ac:dyDescent="0.3">
      <c r="A240" s="142" t="s">
        <v>223</v>
      </c>
      <c r="B240" s="143">
        <v>42216</v>
      </c>
      <c r="C240" s="256">
        <v>8562</v>
      </c>
      <c r="D240" s="149">
        <v>42209</v>
      </c>
      <c r="E240" s="149" t="s">
        <v>177</v>
      </c>
      <c r="G240">
        <v>10</v>
      </c>
      <c r="H240">
        <v>0</v>
      </c>
      <c r="I240">
        <v>0</v>
      </c>
      <c r="J240">
        <v>0</v>
      </c>
      <c r="K240">
        <v>0</v>
      </c>
      <c r="L240" s="92">
        <v>1</v>
      </c>
      <c r="M240" s="289" t="s">
        <v>9</v>
      </c>
      <c r="N240" s="268"/>
      <c r="O240" s="268"/>
      <c r="P240" s="268"/>
      <c r="Q240" s="268"/>
      <c r="R240" s="268"/>
      <c r="S240" s="268"/>
      <c r="T240" s="268"/>
      <c r="U240" s="268"/>
      <c r="V240" s="269"/>
      <c r="W240" s="198" t="s">
        <v>289</v>
      </c>
      <c r="X240" s="93">
        <v>42216</v>
      </c>
      <c r="Y240" t="s">
        <v>132</v>
      </c>
    </row>
    <row r="241" spans="1:25" ht="36" customHeight="1" x14ac:dyDescent="0.3">
      <c r="A241" s="142" t="s">
        <v>223</v>
      </c>
      <c r="B241" s="143">
        <v>42216</v>
      </c>
      <c r="C241" s="256">
        <v>11716</v>
      </c>
      <c r="D241" s="149">
        <v>42047</v>
      </c>
      <c r="E241" s="149" t="s">
        <v>177</v>
      </c>
      <c r="G241">
        <v>14</v>
      </c>
      <c r="H241">
        <v>1</v>
      </c>
      <c r="I241">
        <v>0</v>
      </c>
      <c r="J241">
        <v>0</v>
      </c>
      <c r="K241">
        <v>1</v>
      </c>
      <c r="L241" s="92">
        <v>0.93333333333333335</v>
      </c>
      <c r="M241" s="289" t="s">
        <v>9</v>
      </c>
      <c r="N241" s="268"/>
      <c r="O241" s="268"/>
      <c r="P241" s="268"/>
      <c r="Q241" s="268"/>
      <c r="R241" s="268"/>
      <c r="S241" s="268"/>
      <c r="T241" s="268"/>
      <c r="U241" s="268"/>
      <c r="V241" s="269"/>
      <c r="W241" s="198" t="s">
        <v>289</v>
      </c>
      <c r="X241" s="93">
        <v>42216</v>
      </c>
      <c r="Y241" t="s">
        <v>132</v>
      </c>
    </row>
    <row r="242" spans="1:25" ht="36" customHeight="1" x14ac:dyDescent="0.3">
      <c r="A242" s="142" t="s">
        <v>220</v>
      </c>
      <c r="B242" s="143">
        <v>42216</v>
      </c>
      <c r="C242" s="256">
        <v>45706</v>
      </c>
      <c r="D242" s="149">
        <v>42047</v>
      </c>
      <c r="E242" s="149">
        <v>42109</v>
      </c>
      <c r="G242">
        <v>9</v>
      </c>
      <c r="H242">
        <v>2</v>
      </c>
      <c r="I242">
        <v>0</v>
      </c>
      <c r="J242">
        <v>0</v>
      </c>
      <c r="K242">
        <v>1</v>
      </c>
      <c r="L242" s="92">
        <v>0.9</v>
      </c>
      <c r="M242" s="289" t="s">
        <v>398</v>
      </c>
      <c r="N242" s="268"/>
      <c r="O242" s="268"/>
      <c r="P242" s="268"/>
      <c r="Q242" s="268"/>
      <c r="R242" s="268"/>
      <c r="S242" s="268"/>
      <c r="T242" s="268"/>
      <c r="U242" s="268"/>
      <c r="V242" s="269"/>
      <c r="W242" s="198" t="s">
        <v>289</v>
      </c>
      <c r="X242" s="93">
        <v>42216</v>
      </c>
      <c r="Y242" t="s">
        <v>132</v>
      </c>
    </row>
    <row r="243" spans="1:25" ht="36" customHeight="1" x14ac:dyDescent="0.3">
      <c r="A243" s="142" t="s">
        <v>220</v>
      </c>
      <c r="B243" s="143">
        <v>42216</v>
      </c>
      <c r="C243" s="256">
        <v>64479</v>
      </c>
      <c r="D243" s="149">
        <v>42187</v>
      </c>
      <c r="E243" s="149">
        <v>42212</v>
      </c>
      <c r="G243">
        <v>13</v>
      </c>
      <c r="H243">
        <v>3</v>
      </c>
      <c r="I243">
        <v>0</v>
      </c>
      <c r="J243">
        <v>0</v>
      </c>
      <c r="K243">
        <v>3</v>
      </c>
      <c r="L243" s="92">
        <v>0.8125</v>
      </c>
      <c r="M243" s="289" t="s">
        <v>399</v>
      </c>
      <c r="N243" s="268"/>
      <c r="O243" s="268"/>
      <c r="P243" s="268"/>
      <c r="Q243" s="268"/>
      <c r="R243" s="268"/>
      <c r="S243" s="268"/>
      <c r="T243" s="268"/>
      <c r="U243" s="268"/>
      <c r="V243" s="269"/>
      <c r="W243" s="198" t="s">
        <v>289</v>
      </c>
      <c r="X243" s="93">
        <v>42216</v>
      </c>
      <c r="Y243" t="s">
        <v>132</v>
      </c>
    </row>
    <row r="244" spans="1:25" ht="36" customHeight="1" x14ac:dyDescent="0.3">
      <c r="A244" s="142" t="s">
        <v>379</v>
      </c>
      <c r="B244" s="143">
        <v>42216</v>
      </c>
      <c r="C244" s="256">
        <v>234476</v>
      </c>
      <c r="D244" s="149">
        <v>42180</v>
      </c>
      <c r="E244" s="149" t="s">
        <v>177</v>
      </c>
      <c r="G244">
        <v>17</v>
      </c>
      <c r="H244">
        <v>1</v>
      </c>
      <c r="I244">
        <v>0</v>
      </c>
      <c r="J244">
        <v>0</v>
      </c>
      <c r="K244">
        <v>1</v>
      </c>
      <c r="L244" s="92">
        <v>0.94444444444444442</v>
      </c>
      <c r="M244" s="289" t="s">
        <v>9</v>
      </c>
      <c r="N244" s="268"/>
      <c r="O244" s="268"/>
      <c r="P244" s="268"/>
      <c r="Q244" s="268"/>
      <c r="R244" s="268"/>
      <c r="S244" s="268"/>
      <c r="T244" s="268"/>
      <c r="U244" s="268"/>
      <c r="V244" s="269"/>
      <c r="W244" s="198" t="s">
        <v>289</v>
      </c>
      <c r="X244" s="93">
        <v>42216</v>
      </c>
      <c r="Y244" t="s">
        <v>132</v>
      </c>
    </row>
    <row r="245" spans="1:25" ht="36" customHeight="1" x14ac:dyDescent="0.3">
      <c r="A245" s="142" t="s">
        <v>379</v>
      </c>
      <c r="B245" s="143">
        <v>42216</v>
      </c>
      <c r="C245" s="256">
        <v>19191</v>
      </c>
      <c r="D245" s="149">
        <v>42124</v>
      </c>
      <c r="E245" s="149" t="s">
        <v>177</v>
      </c>
      <c r="G245">
        <v>10</v>
      </c>
      <c r="H245">
        <v>1</v>
      </c>
      <c r="I245">
        <v>0</v>
      </c>
      <c r="J245">
        <v>0</v>
      </c>
      <c r="K245">
        <v>1</v>
      </c>
      <c r="L245" s="92">
        <v>0.90909090909090906</v>
      </c>
      <c r="M245" s="289" t="s">
        <v>9</v>
      </c>
      <c r="N245" s="268"/>
      <c r="O245" s="268"/>
      <c r="P245" s="268"/>
      <c r="Q245" s="268"/>
      <c r="R245" s="268"/>
      <c r="S245" s="268"/>
      <c r="T245" s="268"/>
      <c r="U245" s="268"/>
      <c r="V245" s="269"/>
      <c r="W245" s="198" t="s">
        <v>289</v>
      </c>
      <c r="X245" s="93">
        <v>42216</v>
      </c>
      <c r="Y245" t="s">
        <v>132</v>
      </c>
    </row>
    <row r="246" spans="1:25" ht="36" customHeight="1" x14ac:dyDescent="0.3">
      <c r="A246" s="142" t="s">
        <v>156</v>
      </c>
      <c r="B246" s="143">
        <v>42216</v>
      </c>
      <c r="C246" s="256">
        <v>35619</v>
      </c>
      <c r="D246" s="149">
        <v>42198</v>
      </c>
      <c r="E246" s="149" t="s">
        <v>177</v>
      </c>
      <c r="G246">
        <v>7</v>
      </c>
      <c r="H246">
        <v>3</v>
      </c>
      <c r="I246">
        <v>0</v>
      </c>
      <c r="J246">
        <v>0</v>
      </c>
      <c r="K246">
        <v>3</v>
      </c>
      <c r="L246" s="92">
        <v>0.7</v>
      </c>
      <c r="M246" s="289" t="s">
        <v>9</v>
      </c>
      <c r="N246" s="268"/>
      <c r="O246" s="268"/>
      <c r="P246" s="268"/>
      <c r="Q246" s="268"/>
      <c r="R246" s="268"/>
      <c r="S246" s="268"/>
      <c r="T246" s="268"/>
      <c r="U246" s="268"/>
      <c r="V246" s="269"/>
      <c r="W246" s="198" t="s">
        <v>289</v>
      </c>
      <c r="X246" s="93">
        <v>42216</v>
      </c>
      <c r="Y246" t="s">
        <v>132</v>
      </c>
    </row>
    <row r="247" spans="1:25" ht="36" customHeight="1" x14ac:dyDescent="0.3">
      <c r="A247" s="142" t="s">
        <v>156</v>
      </c>
      <c r="B247" s="143">
        <v>42216</v>
      </c>
      <c r="C247" s="256">
        <v>51388</v>
      </c>
      <c r="D247" s="149">
        <v>42208</v>
      </c>
      <c r="E247" s="149" t="s">
        <v>177</v>
      </c>
      <c r="G247">
        <v>8</v>
      </c>
      <c r="H247">
        <v>1</v>
      </c>
      <c r="I247">
        <v>0</v>
      </c>
      <c r="J247">
        <v>0</v>
      </c>
      <c r="K247">
        <v>1</v>
      </c>
      <c r="L247" s="92">
        <v>0.88888888888888884</v>
      </c>
      <c r="M247" s="289" t="s">
        <v>400</v>
      </c>
      <c r="N247" s="268"/>
      <c r="O247" s="268"/>
      <c r="P247" s="268"/>
      <c r="Q247" s="268"/>
      <c r="R247" s="268"/>
      <c r="S247" s="268"/>
      <c r="T247" s="268"/>
      <c r="U247" s="268"/>
      <c r="V247" s="269"/>
      <c r="W247" s="198" t="s">
        <v>289</v>
      </c>
      <c r="X247" s="93">
        <v>42216</v>
      </c>
      <c r="Y247" t="s">
        <v>132</v>
      </c>
    </row>
    <row r="248" spans="1:25" ht="36" customHeight="1" x14ac:dyDescent="0.3">
      <c r="A248" s="142" t="s">
        <v>157</v>
      </c>
      <c r="B248" s="143">
        <v>42216</v>
      </c>
      <c r="C248" s="256">
        <v>78215</v>
      </c>
      <c r="D248" s="149">
        <v>42212</v>
      </c>
      <c r="E248" s="149" t="s">
        <v>177</v>
      </c>
      <c r="G248">
        <v>9</v>
      </c>
      <c r="H248">
        <v>0</v>
      </c>
      <c r="I248">
        <v>0</v>
      </c>
      <c r="J248">
        <v>0</v>
      </c>
      <c r="K248">
        <v>0</v>
      </c>
      <c r="L248" s="92">
        <v>1</v>
      </c>
      <c r="M248" s="289" t="s">
        <v>9</v>
      </c>
      <c r="N248" s="268"/>
      <c r="O248" s="268"/>
      <c r="P248" s="268"/>
      <c r="Q248" s="268"/>
      <c r="R248" s="268"/>
      <c r="S248" s="268"/>
      <c r="T248" s="268"/>
      <c r="U248" s="268"/>
      <c r="V248" s="269"/>
      <c r="W248" s="198" t="s">
        <v>289</v>
      </c>
      <c r="X248" s="93">
        <v>42216</v>
      </c>
      <c r="Y248" t="s">
        <v>132</v>
      </c>
    </row>
    <row r="249" spans="1:25" ht="36" customHeight="1" x14ac:dyDescent="0.3">
      <c r="A249" s="142" t="s">
        <v>157</v>
      </c>
      <c r="B249" s="143">
        <v>42216</v>
      </c>
      <c r="C249" s="256">
        <v>114835</v>
      </c>
      <c r="D249" s="149">
        <v>42210</v>
      </c>
      <c r="E249" s="149" t="s">
        <v>177</v>
      </c>
      <c r="G249">
        <v>16</v>
      </c>
      <c r="H249">
        <v>0</v>
      </c>
      <c r="I249">
        <v>0</v>
      </c>
      <c r="J249">
        <v>0</v>
      </c>
      <c r="K249">
        <v>0</v>
      </c>
      <c r="L249" s="92">
        <v>1</v>
      </c>
      <c r="M249" s="289" t="s">
        <v>401</v>
      </c>
      <c r="N249" s="268"/>
      <c r="O249" s="268"/>
      <c r="P249" s="268"/>
      <c r="Q249" s="268"/>
      <c r="R249" s="268"/>
      <c r="S249" s="268"/>
      <c r="T249" s="268"/>
      <c r="U249" s="268"/>
      <c r="V249" s="269"/>
      <c r="W249" s="198" t="s">
        <v>289</v>
      </c>
      <c r="X249" s="93">
        <v>42216</v>
      </c>
      <c r="Y249" t="s">
        <v>132</v>
      </c>
    </row>
    <row r="250" spans="1:25" ht="36" customHeight="1" x14ac:dyDescent="0.3">
      <c r="A250" s="142" t="s">
        <v>210</v>
      </c>
      <c r="B250" s="143">
        <v>42216</v>
      </c>
      <c r="C250" s="256">
        <v>47053</v>
      </c>
      <c r="D250" s="149">
        <v>42180</v>
      </c>
      <c r="E250" s="149" t="s">
        <v>177</v>
      </c>
      <c r="G250">
        <v>11</v>
      </c>
      <c r="H250">
        <v>3</v>
      </c>
      <c r="I250">
        <v>0</v>
      </c>
      <c r="J250">
        <v>0</v>
      </c>
      <c r="K250">
        <v>3</v>
      </c>
      <c r="L250" s="92">
        <v>0</v>
      </c>
      <c r="M250" s="289" t="s">
        <v>402</v>
      </c>
      <c r="N250" s="268"/>
      <c r="O250" s="268"/>
      <c r="P250" s="268"/>
      <c r="Q250" s="268"/>
      <c r="R250" s="268"/>
      <c r="S250" s="268"/>
      <c r="T250" s="268"/>
      <c r="U250" s="268"/>
      <c r="V250" s="269"/>
      <c r="W250" s="198" t="s">
        <v>289</v>
      </c>
      <c r="X250" s="93">
        <v>42216</v>
      </c>
      <c r="Y250" t="s">
        <v>132</v>
      </c>
    </row>
    <row r="251" spans="1:25" ht="36" customHeight="1" x14ac:dyDescent="0.3">
      <c r="A251" s="142" t="s">
        <v>210</v>
      </c>
      <c r="B251" s="143">
        <v>42216</v>
      </c>
      <c r="C251" s="256">
        <v>174883</v>
      </c>
      <c r="D251" s="149">
        <v>42165</v>
      </c>
      <c r="E251" s="149">
        <v>42213</v>
      </c>
      <c r="G251">
        <v>9</v>
      </c>
      <c r="H251">
        <v>0</v>
      </c>
      <c r="I251">
        <v>0</v>
      </c>
      <c r="J251">
        <v>0</v>
      </c>
      <c r="K251">
        <v>0</v>
      </c>
      <c r="L251" s="92">
        <v>1</v>
      </c>
      <c r="M251" s="289" t="s">
        <v>9</v>
      </c>
      <c r="N251" s="268"/>
      <c r="O251" s="268"/>
      <c r="P251" s="268"/>
      <c r="Q251" s="268"/>
      <c r="R251" s="268"/>
      <c r="S251" s="268"/>
      <c r="T251" s="268"/>
      <c r="U251" s="268"/>
      <c r="V251" s="269"/>
      <c r="W251" s="198" t="s">
        <v>289</v>
      </c>
      <c r="X251" s="93">
        <v>42216</v>
      </c>
      <c r="Y251" t="s">
        <v>132</v>
      </c>
    </row>
    <row r="252" spans="1:25" ht="36" customHeight="1" x14ac:dyDescent="0.3">
      <c r="A252" s="142" t="s">
        <v>172</v>
      </c>
      <c r="B252" s="143">
        <v>42216</v>
      </c>
      <c r="C252" s="256">
        <v>91445</v>
      </c>
      <c r="D252" s="149">
        <v>42165</v>
      </c>
      <c r="E252" s="149" t="s">
        <v>177</v>
      </c>
      <c r="G252">
        <v>14</v>
      </c>
      <c r="H252">
        <v>1</v>
      </c>
      <c r="I252">
        <v>0</v>
      </c>
      <c r="J252">
        <v>0</v>
      </c>
      <c r="K252">
        <v>1</v>
      </c>
      <c r="L252" s="92">
        <v>0</v>
      </c>
      <c r="M252" s="289" t="s">
        <v>403</v>
      </c>
      <c r="N252" s="268"/>
      <c r="O252" s="268"/>
      <c r="P252" s="268"/>
      <c r="Q252" s="268"/>
      <c r="R252" s="268"/>
      <c r="S252" s="268"/>
      <c r="T252" s="268"/>
      <c r="U252" s="268"/>
      <c r="V252" s="269"/>
      <c r="W252" s="198" t="s">
        <v>289</v>
      </c>
      <c r="X252" s="93">
        <v>42216</v>
      </c>
      <c r="Y252" t="s">
        <v>132</v>
      </c>
    </row>
    <row r="253" spans="1:25" ht="36" customHeight="1" x14ac:dyDescent="0.3">
      <c r="A253" s="142" t="s">
        <v>172</v>
      </c>
      <c r="B253" s="143">
        <v>42216</v>
      </c>
      <c r="C253" s="256">
        <v>97178</v>
      </c>
      <c r="D253" s="149">
        <v>42044</v>
      </c>
      <c r="E253" s="149" t="s">
        <v>177</v>
      </c>
      <c r="G253">
        <v>10</v>
      </c>
      <c r="H253">
        <v>0</v>
      </c>
      <c r="I253">
        <v>0</v>
      </c>
      <c r="J253">
        <v>0</v>
      </c>
      <c r="K253">
        <v>0</v>
      </c>
      <c r="L253" s="92">
        <v>1</v>
      </c>
      <c r="M253" s="289" t="s">
        <v>9</v>
      </c>
      <c r="N253" s="268"/>
      <c r="O253" s="268"/>
      <c r="P253" s="268"/>
      <c r="Q253" s="268"/>
      <c r="R253" s="268"/>
      <c r="S253" s="268"/>
      <c r="T253" s="268"/>
      <c r="U253" s="268"/>
      <c r="V253" s="269"/>
      <c r="W253" s="198" t="s">
        <v>289</v>
      </c>
      <c r="X253" s="93">
        <v>42216</v>
      </c>
      <c r="Y253" t="s">
        <v>132</v>
      </c>
    </row>
    <row r="254" spans="1:25" ht="36" customHeight="1" x14ac:dyDescent="0.3">
      <c r="A254" s="142" t="s">
        <v>404</v>
      </c>
      <c r="B254" s="143">
        <v>42223</v>
      </c>
      <c r="C254" s="256">
        <v>46174</v>
      </c>
      <c r="D254" s="149">
        <v>42100</v>
      </c>
      <c r="E254" s="149" t="s">
        <v>177</v>
      </c>
      <c r="G254">
        <v>21</v>
      </c>
      <c r="H254">
        <v>0</v>
      </c>
      <c r="I254">
        <v>0</v>
      </c>
      <c r="J254">
        <v>0</v>
      </c>
      <c r="K254">
        <v>0</v>
      </c>
      <c r="L254" s="92">
        <v>1</v>
      </c>
      <c r="M254" s="289" t="s">
        <v>9</v>
      </c>
      <c r="N254" s="268"/>
      <c r="O254" s="268"/>
      <c r="P254" s="268"/>
      <c r="Q254" s="268"/>
      <c r="R254" s="268"/>
      <c r="S254" s="268"/>
      <c r="T254" s="268"/>
      <c r="U254" s="268"/>
      <c r="V254" s="269"/>
      <c r="W254" s="198" t="s">
        <v>289</v>
      </c>
      <c r="X254" s="93">
        <v>42223</v>
      </c>
      <c r="Y254" t="s">
        <v>132</v>
      </c>
    </row>
    <row r="255" spans="1:25" ht="36" customHeight="1" x14ac:dyDescent="0.3">
      <c r="A255" s="142" t="s">
        <v>220</v>
      </c>
      <c r="B255" s="143">
        <v>42223</v>
      </c>
      <c r="C255" s="256">
        <v>674479</v>
      </c>
      <c r="D255" s="149">
        <v>42187</v>
      </c>
      <c r="E255" s="149">
        <v>42212</v>
      </c>
      <c r="G255">
        <v>16</v>
      </c>
      <c r="H255">
        <v>3</v>
      </c>
      <c r="I255">
        <v>0</v>
      </c>
      <c r="J255">
        <v>0</v>
      </c>
      <c r="K255">
        <v>3</v>
      </c>
      <c r="L255" s="92">
        <v>0.84210526315789469</v>
      </c>
      <c r="M255" s="289" t="s">
        <v>405</v>
      </c>
      <c r="N255" s="268"/>
      <c r="O255" s="268"/>
      <c r="P255" s="268"/>
      <c r="Q255" s="268"/>
      <c r="R255" s="268"/>
      <c r="S255" s="268"/>
      <c r="T255" s="268"/>
      <c r="U255" s="268"/>
      <c r="V255" s="269"/>
      <c r="W255" s="198" t="s">
        <v>289</v>
      </c>
      <c r="X255" s="93">
        <v>42223</v>
      </c>
      <c r="Y255" t="s">
        <v>132</v>
      </c>
    </row>
    <row r="256" spans="1:25" ht="36" customHeight="1" x14ac:dyDescent="0.3">
      <c r="A256" s="142" t="s">
        <v>220</v>
      </c>
      <c r="B256" s="143">
        <v>42223</v>
      </c>
      <c r="C256" s="256">
        <v>58162</v>
      </c>
      <c r="D256" s="149">
        <v>42205</v>
      </c>
      <c r="E256" s="149">
        <v>42209</v>
      </c>
      <c r="G256">
        <v>14</v>
      </c>
      <c r="H256">
        <v>2</v>
      </c>
      <c r="I256">
        <v>0</v>
      </c>
      <c r="J256">
        <v>1</v>
      </c>
      <c r="K256">
        <v>1</v>
      </c>
      <c r="L256" s="92">
        <v>0.93333333333333335</v>
      </c>
      <c r="M256" s="289" t="s">
        <v>406</v>
      </c>
      <c r="N256" s="268"/>
      <c r="O256" s="268"/>
      <c r="P256" s="268"/>
      <c r="Q256" s="268"/>
      <c r="R256" s="268"/>
      <c r="S256" s="268"/>
      <c r="T256" s="268"/>
      <c r="U256" s="268"/>
      <c r="V256" s="269"/>
      <c r="W256" s="198" t="s">
        <v>289</v>
      </c>
      <c r="X256" s="93">
        <v>42223</v>
      </c>
      <c r="Y256" t="s">
        <v>132</v>
      </c>
    </row>
    <row r="257" spans="1:25" ht="36" customHeight="1" x14ac:dyDescent="0.3">
      <c r="A257" s="142" t="s">
        <v>156</v>
      </c>
      <c r="B257" s="143">
        <v>42223</v>
      </c>
      <c r="C257" s="256">
        <v>120064</v>
      </c>
      <c r="D257" s="149">
        <v>42220</v>
      </c>
      <c r="E257" s="149">
        <v>42221</v>
      </c>
      <c r="G257">
        <v>16</v>
      </c>
      <c r="H257">
        <v>1</v>
      </c>
      <c r="I257">
        <v>0</v>
      </c>
      <c r="J257">
        <v>0</v>
      </c>
      <c r="K257">
        <v>1</v>
      </c>
      <c r="L257" s="92">
        <v>0.94117647058823528</v>
      </c>
      <c r="M257" s="289" t="s">
        <v>407</v>
      </c>
      <c r="N257" s="268"/>
      <c r="O257" s="268"/>
      <c r="P257" s="268"/>
      <c r="Q257" s="268"/>
      <c r="R257" s="268"/>
      <c r="S257" s="268"/>
      <c r="T257" s="268"/>
      <c r="U257" s="268"/>
      <c r="V257" s="269"/>
      <c r="W257" s="198" t="s">
        <v>289</v>
      </c>
      <c r="X257" s="93">
        <v>42223</v>
      </c>
      <c r="Y257" t="s">
        <v>132</v>
      </c>
    </row>
    <row r="258" spans="1:25" ht="36" customHeight="1" x14ac:dyDescent="0.3">
      <c r="A258" s="142" t="s">
        <v>2</v>
      </c>
      <c r="B258" s="143">
        <v>42223</v>
      </c>
      <c r="C258" s="256">
        <v>178524</v>
      </c>
      <c r="D258" s="149">
        <v>42213</v>
      </c>
      <c r="E258" s="149">
        <v>42214</v>
      </c>
      <c r="G258">
        <v>16</v>
      </c>
      <c r="H258">
        <v>0</v>
      </c>
      <c r="I258">
        <v>0</v>
      </c>
      <c r="J258">
        <v>0</v>
      </c>
      <c r="K258">
        <v>0</v>
      </c>
      <c r="L258" s="92">
        <v>1</v>
      </c>
      <c r="M258" s="289" t="s">
        <v>408</v>
      </c>
      <c r="N258" s="268"/>
      <c r="O258" s="268"/>
      <c r="P258" s="268"/>
      <c r="Q258" s="268"/>
      <c r="R258" s="268"/>
      <c r="S258" s="268"/>
      <c r="T258" s="268"/>
      <c r="U258" s="268"/>
      <c r="V258" s="269"/>
      <c r="W258" s="198" t="s">
        <v>289</v>
      </c>
      <c r="X258" s="93">
        <v>42223</v>
      </c>
      <c r="Y258" t="s">
        <v>132</v>
      </c>
    </row>
    <row r="259" spans="1:25" ht="36" customHeight="1" x14ac:dyDescent="0.3">
      <c r="A259" s="142" t="s">
        <v>2</v>
      </c>
      <c r="B259" s="143">
        <v>42223</v>
      </c>
      <c r="C259" s="256">
        <v>10450</v>
      </c>
      <c r="D259" s="149" t="s">
        <v>9</v>
      </c>
      <c r="E259" s="149" t="s">
        <v>9</v>
      </c>
      <c r="G259">
        <v>9</v>
      </c>
      <c r="H259">
        <v>0</v>
      </c>
      <c r="I259">
        <v>0</v>
      </c>
      <c r="J259">
        <v>0</v>
      </c>
      <c r="K259">
        <v>0</v>
      </c>
      <c r="L259" s="92">
        <v>1</v>
      </c>
      <c r="M259" s="289" t="s">
        <v>9</v>
      </c>
      <c r="N259" s="268"/>
      <c r="O259" s="268"/>
      <c r="P259" s="268"/>
      <c r="Q259" s="268"/>
      <c r="R259" s="268"/>
      <c r="S259" s="268"/>
      <c r="T259" s="268"/>
      <c r="U259" s="268"/>
      <c r="V259" s="269"/>
      <c r="W259" s="198" t="s">
        <v>289</v>
      </c>
      <c r="X259" s="93">
        <v>42223</v>
      </c>
      <c r="Y259" t="s">
        <v>132</v>
      </c>
    </row>
    <row r="260" spans="1:25" ht="36" customHeight="1" x14ac:dyDescent="0.3">
      <c r="A260" s="142" t="s">
        <v>156</v>
      </c>
      <c r="B260" s="143">
        <v>42223</v>
      </c>
      <c r="C260" s="256">
        <v>65590</v>
      </c>
      <c r="D260" s="149">
        <v>42215</v>
      </c>
      <c r="E260" s="149" t="s">
        <v>177</v>
      </c>
      <c r="G260">
        <v>17</v>
      </c>
      <c r="H260">
        <v>2</v>
      </c>
      <c r="I260">
        <v>0</v>
      </c>
      <c r="J260">
        <v>0</v>
      </c>
      <c r="K260">
        <v>2</v>
      </c>
      <c r="L260" s="92">
        <v>0.89473684210526316</v>
      </c>
      <c r="M260" s="289" t="s">
        <v>409</v>
      </c>
      <c r="N260" s="268"/>
      <c r="O260" s="268"/>
      <c r="P260" s="268"/>
      <c r="Q260" s="268"/>
      <c r="R260" s="268"/>
      <c r="S260" s="268"/>
      <c r="T260" s="268"/>
      <c r="U260" s="268"/>
      <c r="V260" s="269"/>
      <c r="W260" s="198" t="s">
        <v>289</v>
      </c>
      <c r="X260" s="93">
        <v>42223</v>
      </c>
      <c r="Y260" t="s">
        <v>132</v>
      </c>
    </row>
    <row r="261" spans="1:25" ht="36" customHeight="1" x14ac:dyDescent="0.3">
      <c r="A261" s="142" t="s">
        <v>172</v>
      </c>
      <c r="B261" s="143">
        <v>42223</v>
      </c>
      <c r="C261" s="256">
        <v>39896</v>
      </c>
      <c r="D261" s="149">
        <v>42220</v>
      </c>
      <c r="E261" s="149">
        <v>42221</v>
      </c>
      <c r="G261">
        <v>17</v>
      </c>
      <c r="H261">
        <v>0</v>
      </c>
      <c r="I261">
        <v>0</v>
      </c>
      <c r="J261">
        <v>0</v>
      </c>
      <c r="K261">
        <v>0</v>
      </c>
      <c r="L261" s="92">
        <v>1</v>
      </c>
      <c r="M261" s="289" t="s">
        <v>410</v>
      </c>
      <c r="N261" s="268"/>
      <c r="O261" s="268"/>
      <c r="P261" s="268"/>
      <c r="Q261" s="268"/>
      <c r="R261" s="268"/>
      <c r="S261" s="268"/>
      <c r="T261" s="268"/>
      <c r="U261" s="268"/>
      <c r="V261" s="269"/>
      <c r="W261" s="198" t="s">
        <v>289</v>
      </c>
      <c r="X261" s="93">
        <v>42223</v>
      </c>
      <c r="Y261" t="s">
        <v>132</v>
      </c>
    </row>
    <row r="262" spans="1:25" ht="36" customHeight="1" x14ac:dyDescent="0.3">
      <c r="A262" s="142" t="s">
        <v>172</v>
      </c>
      <c r="B262" s="143">
        <v>42223</v>
      </c>
      <c r="C262" s="256">
        <v>94746</v>
      </c>
      <c r="D262" s="149">
        <v>42166</v>
      </c>
      <c r="E262" s="149" t="s">
        <v>177</v>
      </c>
      <c r="G262">
        <v>6</v>
      </c>
      <c r="H262">
        <v>2</v>
      </c>
      <c r="I262">
        <v>0</v>
      </c>
      <c r="J262">
        <v>0</v>
      </c>
      <c r="K262">
        <v>2</v>
      </c>
      <c r="L262" s="92">
        <v>0.75</v>
      </c>
      <c r="M262" s="289" t="s">
        <v>411</v>
      </c>
      <c r="N262" s="268"/>
      <c r="O262" s="268"/>
      <c r="P262" s="268"/>
      <c r="Q262" s="268"/>
      <c r="R262" s="268"/>
      <c r="S262" s="268"/>
      <c r="T262" s="268"/>
      <c r="U262" s="268"/>
      <c r="V262" s="269"/>
      <c r="W262" s="198" t="s">
        <v>289</v>
      </c>
      <c r="X262" s="93">
        <v>42223</v>
      </c>
      <c r="Y262" t="s">
        <v>132</v>
      </c>
    </row>
    <row r="263" spans="1:25" ht="36" customHeight="1" x14ac:dyDescent="0.3">
      <c r="A263" s="142" t="s">
        <v>412</v>
      </c>
      <c r="B263" s="143">
        <v>42223</v>
      </c>
      <c r="C263" s="256">
        <v>133957</v>
      </c>
      <c r="D263" s="149">
        <v>42213</v>
      </c>
      <c r="E263" s="149">
        <v>42215</v>
      </c>
      <c r="G263">
        <v>19</v>
      </c>
      <c r="H263">
        <v>0</v>
      </c>
      <c r="I263">
        <v>0</v>
      </c>
      <c r="J263">
        <v>0</v>
      </c>
      <c r="K263">
        <v>0</v>
      </c>
      <c r="L263" s="92">
        <v>1</v>
      </c>
      <c r="M263" s="289" t="s">
        <v>383</v>
      </c>
      <c r="N263" s="268"/>
      <c r="O263" s="268"/>
      <c r="P263" s="268"/>
      <c r="Q263" s="268"/>
      <c r="R263" s="268"/>
      <c r="S263" s="268"/>
      <c r="T263" s="268"/>
      <c r="U263" s="268"/>
      <c r="V263" s="269"/>
      <c r="W263" s="198" t="s">
        <v>289</v>
      </c>
      <c r="X263" s="93">
        <v>42223</v>
      </c>
      <c r="Y263" t="s">
        <v>132</v>
      </c>
    </row>
    <row r="264" spans="1:25" ht="36" customHeight="1" x14ac:dyDescent="0.3">
      <c r="A264" s="142" t="s">
        <v>412</v>
      </c>
      <c r="B264" s="143">
        <v>42223</v>
      </c>
      <c r="C264" s="256">
        <v>6013</v>
      </c>
      <c r="D264" s="149">
        <v>42221</v>
      </c>
      <c r="E264" s="149" t="s">
        <v>177</v>
      </c>
      <c r="G264">
        <v>7</v>
      </c>
      <c r="H264">
        <v>1</v>
      </c>
      <c r="I264">
        <v>0</v>
      </c>
      <c r="J264">
        <v>0</v>
      </c>
      <c r="K264">
        <v>1</v>
      </c>
      <c r="L264" s="92">
        <v>0.875</v>
      </c>
      <c r="M264" s="289" t="s">
        <v>413</v>
      </c>
      <c r="N264" s="268"/>
      <c r="O264" s="268"/>
      <c r="P264" s="268"/>
      <c r="Q264" s="268"/>
      <c r="R264" s="268"/>
      <c r="S264" s="268"/>
      <c r="T264" s="268"/>
      <c r="U264" s="268"/>
      <c r="V264" s="269"/>
      <c r="W264" s="198" t="s">
        <v>289</v>
      </c>
      <c r="X264" s="93">
        <v>42223</v>
      </c>
      <c r="Y264" t="s">
        <v>132</v>
      </c>
    </row>
    <row r="265" spans="1:25" ht="36" customHeight="1" x14ac:dyDescent="0.3">
      <c r="A265" s="142" t="s">
        <v>414</v>
      </c>
      <c r="B265" s="143">
        <v>42223</v>
      </c>
      <c r="C265" s="256">
        <v>51995</v>
      </c>
      <c r="D265" s="149">
        <v>42222</v>
      </c>
      <c r="E265" s="149" t="s">
        <v>177</v>
      </c>
      <c r="G265">
        <v>15</v>
      </c>
      <c r="H265">
        <v>0</v>
      </c>
      <c r="I265">
        <v>0</v>
      </c>
      <c r="J265">
        <v>0</v>
      </c>
      <c r="K265">
        <v>0</v>
      </c>
      <c r="L265" s="92">
        <v>1</v>
      </c>
      <c r="M265" s="289" t="s">
        <v>9</v>
      </c>
      <c r="N265" s="268"/>
      <c r="O265" s="268"/>
      <c r="P265" s="268"/>
      <c r="Q265" s="268"/>
      <c r="R265" s="268"/>
      <c r="S265" s="268"/>
      <c r="T265" s="268"/>
      <c r="U265" s="268"/>
      <c r="V265" s="269"/>
      <c r="W265" s="198" t="s">
        <v>289</v>
      </c>
      <c r="X265" s="93">
        <v>42223</v>
      </c>
      <c r="Y265" t="s">
        <v>132</v>
      </c>
    </row>
    <row r="266" spans="1:25" ht="36" customHeight="1" x14ac:dyDescent="0.3">
      <c r="A266" s="142" t="s">
        <v>415</v>
      </c>
      <c r="B266" s="143">
        <v>42223</v>
      </c>
      <c r="C266" s="256">
        <v>157544</v>
      </c>
      <c r="D266" s="149">
        <v>42221</v>
      </c>
      <c r="E266" s="149" t="s">
        <v>177</v>
      </c>
      <c r="G266">
        <v>9</v>
      </c>
      <c r="H266">
        <v>0</v>
      </c>
      <c r="I266">
        <v>0</v>
      </c>
      <c r="J266">
        <v>0</v>
      </c>
      <c r="K266">
        <v>0</v>
      </c>
      <c r="L266" s="92">
        <v>1</v>
      </c>
      <c r="M266" s="289" t="s">
        <v>416</v>
      </c>
      <c r="N266" s="268"/>
      <c r="O266" s="268"/>
      <c r="P266" s="268"/>
      <c r="Q266" s="268"/>
      <c r="R266" s="268"/>
      <c r="S266" s="268"/>
      <c r="T266" s="268"/>
      <c r="U266" s="268"/>
      <c r="V266" s="269"/>
      <c r="W266" s="198" t="s">
        <v>289</v>
      </c>
      <c r="X266" s="93">
        <v>42223</v>
      </c>
      <c r="Y266" t="s">
        <v>132</v>
      </c>
    </row>
    <row r="267" spans="1:25" ht="36" customHeight="1" x14ac:dyDescent="0.3">
      <c r="A267" s="142" t="s">
        <v>417</v>
      </c>
      <c r="B267" s="143">
        <v>42223</v>
      </c>
      <c r="C267" s="256">
        <v>92324</v>
      </c>
      <c r="D267" s="149">
        <v>42214</v>
      </c>
      <c r="E267" s="149">
        <v>42221</v>
      </c>
      <c r="G267">
        <v>19</v>
      </c>
      <c r="H267">
        <v>0</v>
      </c>
      <c r="I267">
        <v>0</v>
      </c>
      <c r="J267">
        <v>0</v>
      </c>
      <c r="K267">
        <v>1</v>
      </c>
      <c r="L267" s="92">
        <v>0.95</v>
      </c>
      <c r="M267" s="289" t="s">
        <v>418</v>
      </c>
      <c r="N267" s="268"/>
      <c r="O267" s="268"/>
      <c r="P267" s="268"/>
      <c r="Q267" s="268"/>
      <c r="R267" s="268"/>
      <c r="S267" s="268"/>
      <c r="T267" s="268"/>
      <c r="U267" s="268"/>
      <c r="V267" s="269"/>
      <c r="W267" s="198" t="s">
        <v>289</v>
      </c>
      <c r="X267" s="93">
        <v>42223</v>
      </c>
      <c r="Y267" t="s">
        <v>132</v>
      </c>
    </row>
    <row r="268" spans="1:25" ht="36" customHeight="1" x14ac:dyDescent="0.3">
      <c r="A268" s="142" t="s">
        <v>379</v>
      </c>
      <c r="B268" s="143">
        <v>42223</v>
      </c>
      <c r="C268" s="256">
        <v>29272</v>
      </c>
      <c r="D268" s="149">
        <v>42177</v>
      </c>
      <c r="E268" s="149" t="s">
        <v>177</v>
      </c>
      <c r="G268">
        <v>7</v>
      </c>
      <c r="H268">
        <v>1</v>
      </c>
      <c r="I268">
        <v>0</v>
      </c>
      <c r="J268">
        <v>0</v>
      </c>
      <c r="K268">
        <v>1</v>
      </c>
      <c r="L268" s="92">
        <v>0.875</v>
      </c>
      <c r="M268" s="289" t="s">
        <v>419</v>
      </c>
      <c r="N268" s="268"/>
      <c r="O268" s="268"/>
      <c r="P268" s="268"/>
      <c r="Q268" s="268"/>
      <c r="R268" s="268"/>
      <c r="S268" s="268"/>
      <c r="T268" s="268"/>
      <c r="U268" s="268"/>
      <c r="V268" s="269"/>
      <c r="W268" s="198" t="s">
        <v>289</v>
      </c>
      <c r="X268" s="93">
        <v>42223</v>
      </c>
      <c r="Y268" t="s">
        <v>132</v>
      </c>
    </row>
    <row r="269" spans="1:25" ht="36" customHeight="1" x14ac:dyDescent="0.3">
      <c r="A269" s="142" t="s">
        <v>210</v>
      </c>
      <c r="B269" s="143">
        <v>42223</v>
      </c>
      <c r="C269" s="256">
        <v>16374</v>
      </c>
      <c r="D269" s="149">
        <v>42094</v>
      </c>
      <c r="E269" s="149" t="s">
        <v>177</v>
      </c>
      <c r="G269">
        <v>10</v>
      </c>
      <c r="H269">
        <v>0</v>
      </c>
      <c r="I269">
        <v>0</v>
      </c>
      <c r="J269">
        <v>0</v>
      </c>
      <c r="K269">
        <v>0</v>
      </c>
      <c r="L269" s="92">
        <v>1</v>
      </c>
      <c r="M269" s="289" t="s">
        <v>9</v>
      </c>
      <c r="N269" s="268"/>
      <c r="O269" s="268"/>
      <c r="P269" s="268"/>
      <c r="Q269" s="268"/>
      <c r="R269" s="268"/>
      <c r="S269" s="268"/>
      <c r="T269" s="268"/>
      <c r="U269" s="268"/>
      <c r="V269" s="269"/>
      <c r="W269" s="198" t="s">
        <v>289</v>
      </c>
      <c r="X269" s="93">
        <v>42223</v>
      </c>
      <c r="Y269" t="s">
        <v>132</v>
      </c>
    </row>
    <row r="270" spans="1:25" ht="36" customHeight="1" x14ac:dyDescent="0.3">
      <c r="A270" s="142" t="s">
        <v>210</v>
      </c>
      <c r="B270" s="143">
        <v>42223</v>
      </c>
      <c r="C270" s="256">
        <v>117580</v>
      </c>
      <c r="D270" s="149">
        <v>42219</v>
      </c>
      <c r="E270" s="149" t="s">
        <v>177</v>
      </c>
      <c r="G270">
        <v>19</v>
      </c>
      <c r="H270">
        <v>0</v>
      </c>
      <c r="I270">
        <v>0</v>
      </c>
      <c r="J270">
        <v>0</v>
      </c>
      <c r="K270">
        <v>0</v>
      </c>
      <c r="L270" s="92">
        <v>1</v>
      </c>
      <c r="M270" s="289" t="s">
        <v>9</v>
      </c>
      <c r="N270" s="268"/>
      <c r="O270" s="268"/>
      <c r="P270" s="268"/>
      <c r="Q270" s="268"/>
      <c r="R270" s="268"/>
      <c r="S270" s="268"/>
      <c r="T270" s="268"/>
      <c r="U270" s="268"/>
      <c r="V270" s="269"/>
      <c r="W270" s="198" t="s">
        <v>289</v>
      </c>
      <c r="X270" s="93">
        <v>42223</v>
      </c>
      <c r="Y270" t="s">
        <v>132</v>
      </c>
    </row>
    <row r="271" spans="1:25" ht="36" customHeight="1" x14ac:dyDescent="0.3">
      <c r="A271" s="142" t="s">
        <v>157</v>
      </c>
      <c r="B271" s="143">
        <v>42223</v>
      </c>
      <c r="C271" s="256">
        <v>157137</v>
      </c>
      <c r="D271" s="149">
        <v>42217</v>
      </c>
      <c r="E271" s="149" t="s">
        <v>177</v>
      </c>
      <c r="G271">
        <v>15</v>
      </c>
      <c r="H271">
        <v>0</v>
      </c>
      <c r="I271">
        <v>0</v>
      </c>
      <c r="J271">
        <v>0</v>
      </c>
      <c r="K271">
        <v>0</v>
      </c>
      <c r="L271" s="92">
        <v>1</v>
      </c>
      <c r="M271" s="289" t="s">
        <v>420</v>
      </c>
      <c r="N271" s="268"/>
      <c r="O271" s="268"/>
      <c r="P271" s="268"/>
      <c r="Q271" s="268"/>
      <c r="R271" s="268"/>
      <c r="S271" s="268"/>
      <c r="T271" s="268"/>
      <c r="U271" s="268"/>
      <c r="V271" s="269"/>
      <c r="W271" s="198" t="s">
        <v>289</v>
      </c>
      <c r="X271" s="93">
        <v>42223</v>
      </c>
      <c r="Y271" t="s">
        <v>132</v>
      </c>
    </row>
    <row r="272" spans="1:25" ht="36" customHeight="1" x14ac:dyDescent="0.3">
      <c r="A272" s="142" t="s">
        <v>223</v>
      </c>
      <c r="B272" s="143">
        <v>42223</v>
      </c>
      <c r="C272" s="256" t="s">
        <v>174</v>
      </c>
      <c r="D272" t="s">
        <v>306</v>
      </c>
      <c r="E272" t="s">
        <v>306</v>
      </c>
      <c r="G272">
        <v>0</v>
      </c>
      <c r="H272">
        <v>0</v>
      </c>
      <c r="I272">
        <v>0</v>
      </c>
      <c r="J272">
        <v>0</v>
      </c>
      <c r="K272">
        <v>0</v>
      </c>
      <c r="L272" s="92" t="e">
        <v>#DIV/0!</v>
      </c>
      <c r="M272" s="289" t="s">
        <v>170</v>
      </c>
      <c r="N272" s="268"/>
      <c r="O272" s="268"/>
      <c r="P272" s="268"/>
      <c r="Q272" s="268"/>
      <c r="R272" s="268"/>
      <c r="S272" s="268"/>
      <c r="T272" s="268"/>
      <c r="U272" s="268"/>
      <c r="V272" s="269"/>
      <c r="W272" s="198" t="s">
        <v>289</v>
      </c>
      <c r="X272" s="93">
        <v>42223</v>
      </c>
      <c r="Y272" t="s">
        <v>132</v>
      </c>
    </row>
    <row r="273" spans="1:25" s="80" customFormat="1" ht="36" customHeight="1" thickBot="1" x14ac:dyDescent="0.35">
      <c r="A273" s="250" t="s">
        <v>223</v>
      </c>
      <c r="B273" s="208">
        <v>42223</v>
      </c>
      <c r="C273" s="262" t="s">
        <v>174</v>
      </c>
      <c r="D273" s="80" t="s">
        <v>306</v>
      </c>
      <c r="E273" s="80" t="s">
        <v>306</v>
      </c>
      <c r="G273" s="80">
        <v>0</v>
      </c>
      <c r="H273" s="80">
        <v>0</v>
      </c>
      <c r="I273" s="80">
        <v>0</v>
      </c>
      <c r="J273" s="80">
        <v>0</v>
      </c>
      <c r="K273" s="80">
        <v>0</v>
      </c>
      <c r="L273" s="81" t="e">
        <v>#DIV/0!</v>
      </c>
      <c r="M273" s="290" t="s">
        <v>170</v>
      </c>
      <c r="N273" s="287"/>
      <c r="O273" s="287"/>
      <c r="P273" s="287"/>
      <c r="Q273" s="287"/>
      <c r="R273" s="287"/>
      <c r="S273" s="287"/>
      <c r="T273" s="287"/>
      <c r="U273" s="287"/>
      <c r="V273" s="288"/>
      <c r="W273" s="211" t="s">
        <v>289</v>
      </c>
      <c r="X273" s="82">
        <v>42223</v>
      </c>
      <c r="Y273" s="80" t="s">
        <v>132</v>
      </c>
    </row>
    <row r="274" spans="1:25" ht="36" customHeight="1" x14ac:dyDescent="0.3">
      <c r="A274" s="244" t="s">
        <v>412</v>
      </c>
      <c r="B274" s="245">
        <v>42228</v>
      </c>
      <c r="C274" s="264">
        <v>25180</v>
      </c>
      <c r="D274" s="247">
        <v>42227</v>
      </c>
      <c r="E274" s="247" t="s">
        <v>177</v>
      </c>
      <c r="G274">
        <v>22</v>
      </c>
      <c r="H274">
        <v>1</v>
      </c>
      <c r="I274">
        <v>0</v>
      </c>
      <c r="J274">
        <v>0</v>
      </c>
      <c r="K274">
        <v>1</v>
      </c>
      <c r="L274" s="92">
        <v>0.95652173913043481</v>
      </c>
      <c r="M274" s="291" t="s">
        <v>422</v>
      </c>
      <c r="N274" s="292"/>
      <c r="O274" s="292"/>
      <c r="P274" s="292"/>
      <c r="Q274" s="292"/>
      <c r="R274" s="292"/>
      <c r="S274" s="292"/>
      <c r="T274" s="292"/>
      <c r="U274" s="292"/>
      <c r="V274" s="293"/>
      <c r="W274" s="204" t="s">
        <v>289</v>
      </c>
      <c r="X274" s="93">
        <v>42228</v>
      </c>
      <c r="Y274" t="s">
        <v>132</v>
      </c>
    </row>
    <row r="275" spans="1:25" ht="36" customHeight="1" x14ac:dyDescent="0.3">
      <c r="A275" s="142" t="s">
        <v>157</v>
      </c>
      <c r="B275" s="143">
        <v>42228</v>
      </c>
      <c r="C275" s="256">
        <v>53320</v>
      </c>
      <c r="D275" s="149">
        <v>42209</v>
      </c>
      <c r="E275" s="149">
        <v>42212</v>
      </c>
      <c r="G275">
        <v>17</v>
      </c>
      <c r="H275">
        <v>1</v>
      </c>
      <c r="I275">
        <v>0</v>
      </c>
      <c r="J275">
        <v>0</v>
      </c>
      <c r="K275">
        <v>1</v>
      </c>
      <c r="L275" s="92">
        <v>0.94444444444444442</v>
      </c>
      <c r="M275" s="289" t="s">
        <v>171</v>
      </c>
      <c r="N275" s="268"/>
      <c r="O275" s="268"/>
      <c r="P275" s="268"/>
      <c r="Q275" s="268"/>
      <c r="R275" s="268"/>
      <c r="S275" s="268"/>
      <c r="T275" s="268"/>
      <c r="U275" s="268"/>
      <c r="V275" s="269"/>
      <c r="W275" s="198" t="s">
        <v>289</v>
      </c>
      <c r="X275" s="93">
        <v>42228</v>
      </c>
      <c r="Y275" t="s">
        <v>132</v>
      </c>
    </row>
    <row r="276" spans="1:25" ht="36" customHeight="1" x14ac:dyDescent="0.3">
      <c r="A276" s="142" t="s">
        <v>156</v>
      </c>
      <c r="B276" s="143">
        <v>42228</v>
      </c>
      <c r="C276" s="256">
        <v>4413</v>
      </c>
      <c r="D276" s="149">
        <v>42223</v>
      </c>
      <c r="E276" s="149" t="s">
        <v>177</v>
      </c>
      <c r="G276">
        <v>14</v>
      </c>
      <c r="H276">
        <v>3</v>
      </c>
      <c r="I276">
        <v>0</v>
      </c>
      <c r="J276">
        <v>0</v>
      </c>
      <c r="K276">
        <v>3</v>
      </c>
      <c r="L276" s="92">
        <v>0.82352941176470584</v>
      </c>
      <c r="M276" s="289" t="s">
        <v>423</v>
      </c>
      <c r="N276" s="268"/>
      <c r="O276" s="268"/>
      <c r="P276" s="268"/>
      <c r="Q276" s="268"/>
      <c r="R276" s="268"/>
      <c r="S276" s="268"/>
      <c r="T276" s="268"/>
      <c r="U276" s="268"/>
      <c r="V276" s="269"/>
      <c r="W276" s="198" t="s">
        <v>289</v>
      </c>
      <c r="X276" s="93">
        <v>42228</v>
      </c>
      <c r="Y276" t="s">
        <v>132</v>
      </c>
    </row>
    <row r="277" spans="1:25" ht="36" customHeight="1" x14ac:dyDescent="0.3">
      <c r="A277" s="142" t="s">
        <v>220</v>
      </c>
      <c r="B277" s="143">
        <v>42228</v>
      </c>
      <c r="C277" s="256">
        <v>99125</v>
      </c>
      <c r="D277" s="149">
        <v>42222</v>
      </c>
      <c r="E277" s="149" t="s">
        <v>177</v>
      </c>
      <c r="G277">
        <v>3</v>
      </c>
      <c r="H277">
        <v>6</v>
      </c>
      <c r="I277">
        <v>0</v>
      </c>
      <c r="J277">
        <v>0</v>
      </c>
      <c r="K277">
        <v>6</v>
      </c>
      <c r="L277" s="92">
        <v>0.33333333333333331</v>
      </c>
      <c r="M277" s="289" t="s">
        <v>424</v>
      </c>
      <c r="N277" s="268"/>
      <c r="O277" s="268"/>
      <c r="P277" s="268"/>
      <c r="Q277" s="268"/>
      <c r="R277" s="268"/>
      <c r="S277" s="268"/>
      <c r="T277" s="268"/>
      <c r="U277" s="268"/>
      <c r="V277" s="269"/>
      <c r="W277" s="198" t="s">
        <v>289</v>
      </c>
      <c r="X277" s="93">
        <v>42228</v>
      </c>
      <c r="Y277" t="s">
        <v>132</v>
      </c>
    </row>
    <row r="278" spans="1:25" ht="36" customHeight="1" x14ac:dyDescent="0.3">
      <c r="A278" s="142" t="s">
        <v>425</v>
      </c>
      <c r="B278" s="143">
        <v>42228</v>
      </c>
      <c r="C278" s="256">
        <v>33096</v>
      </c>
      <c r="D278" s="149">
        <v>42216</v>
      </c>
      <c r="E278" s="149" t="s">
        <v>177</v>
      </c>
      <c r="G278">
        <v>17</v>
      </c>
      <c r="H278">
        <v>1</v>
      </c>
      <c r="I278">
        <v>0</v>
      </c>
      <c r="J278">
        <v>0</v>
      </c>
      <c r="K278">
        <v>1</v>
      </c>
      <c r="L278" s="92">
        <v>0.94444444444444442</v>
      </c>
      <c r="M278" s="289" t="s">
        <v>171</v>
      </c>
      <c r="N278" s="268"/>
      <c r="O278" s="268"/>
      <c r="P278" s="268"/>
      <c r="Q278" s="268"/>
      <c r="R278" s="268"/>
      <c r="S278" s="268"/>
      <c r="T278" s="268"/>
      <c r="U278" s="268"/>
      <c r="V278" s="269"/>
      <c r="W278" s="198" t="s">
        <v>289</v>
      </c>
      <c r="X278" s="93">
        <v>42228</v>
      </c>
      <c r="Y278" t="s">
        <v>132</v>
      </c>
    </row>
    <row r="279" spans="1:25" ht="36" customHeight="1" x14ac:dyDescent="0.3">
      <c r="A279" s="142" t="s">
        <v>210</v>
      </c>
      <c r="B279" s="143">
        <v>42228</v>
      </c>
      <c r="C279" s="256">
        <v>84226</v>
      </c>
      <c r="D279" s="149">
        <v>42223</v>
      </c>
      <c r="E279" s="149">
        <v>42226</v>
      </c>
      <c r="G279">
        <v>15</v>
      </c>
      <c r="H279">
        <v>2</v>
      </c>
      <c r="I279">
        <v>0</v>
      </c>
      <c r="J279">
        <v>0</v>
      </c>
      <c r="K279">
        <v>2</v>
      </c>
      <c r="L279" s="92">
        <v>0.88235294117647056</v>
      </c>
      <c r="M279" s="289" t="s">
        <v>9</v>
      </c>
      <c r="N279" s="268"/>
      <c r="O279" s="268"/>
      <c r="P279" s="268"/>
      <c r="Q279" s="268"/>
      <c r="R279" s="268"/>
      <c r="S279" s="268"/>
      <c r="T279" s="268"/>
      <c r="U279" s="268"/>
      <c r="V279" s="269"/>
      <c r="W279" s="198" t="s">
        <v>289</v>
      </c>
      <c r="X279" s="93">
        <v>42228</v>
      </c>
      <c r="Y279" t="s">
        <v>132</v>
      </c>
    </row>
    <row r="280" spans="1:25" ht="36" customHeight="1" x14ac:dyDescent="0.3">
      <c r="A280" s="142" t="s">
        <v>2</v>
      </c>
      <c r="B280" s="143">
        <v>42228</v>
      </c>
      <c r="C280" s="256">
        <v>188687</v>
      </c>
      <c r="D280" s="149">
        <v>42192</v>
      </c>
      <c r="E280" s="149">
        <v>42213</v>
      </c>
      <c r="G280">
        <v>18</v>
      </c>
      <c r="H280">
        <v>1</v>
      </c>
      <c r="I280">
        <v>0</v>
      </c>
      <c r="J280">
        <v>0</v>
      </c>
      <c r="K280">
        <v>1</v>
      </c>
      <c r="L280" s="92">
        <v>0.94736842105263153</v>
      </c>
      <c r="M280" s="289" t="s">
        <v>171</v>
      </c>
      <c r="N280" s="268"/>
      <c r="O280" s="268"/>
      <c r="P280" s="268"/>
      <c r="Q280" s="268"/>
      <c r="R280" s="268"/>
      <c r="S280" s="268"/>
      <c r="T280" s="268"/>
      <c r="U280" s="268"/>
      <c r="V280" s="269"/>
      <c r="W280" s="198" t="s">
        <v>289</v>
      </c>
      <c r="X280" s="93">
        <v>42228</v>
      </c>
      <c r="Y280" t="s">
        <v>132</v>
      </c>
    </row>
    <row r="281" spans="1:25" ht="36" customHeight="1" x14ac:dyDescent="0.3">
      <c r="A281" s="142" t="s">
        <v>426</v>
      </c>
      <c r="B281" s="143">
        <v>42230</v>
      </c>
      <c r="C281" s="256">
        <v>16259</v>
      </c>
      <c r="D281" s="149">
        <v>42227</v>
      </c>
      <c r="E281" s="149">
        <v>42228</v>
      </c>
      <c r="G281">
        <v>10</v>
      </c>
      <c r="H281">
        <v>0</v>
      </c>
      <c r="I281">
        <v>0</v>
      </c>
      <c r="J281">
        <v>0</v>
      </c>
      <c r="K281">
        <v>0</v>
      </c>
      <c r="L281" s="92">
        <v>1</v>
      </c>
      <c r="M281" s="289" t="s">
        <v>427</v>
      </c>
      <c r="N281" s="268"/>
      <c r="O281" s="268"/>
      <c r="P281" s="268"/>
      <c r="Q281" s="268"/>
      <c r="R281" s="268"/>
      <c r="S281" s="268"/>
      <c r="T281" s="268"/>
      <c r="U281" s="268"/>
      <c r="V281" s="269"/>
      <c r="W281" s="198" t="s">
        <v>289</v>
      </c>
      <c r="X281" s="93">
        <v>42230</v>
      </c>
      <c r="Y281" t="s">
        <v>138</v>
      </c>
    </row>
    <row r="282" spans="1:25" ht="36" customHeight="1" x14ac:dyDescent="0.3">
      <c r="A282" s="142" t="s">
        <v>428</v>
      </c>
      <c r="B282" s="143">
        <v>42230</v>
      </c>
      <c r="C282" s="256">
        <v>58643</v>
      </c>
      <c r="D282" s="149">
        <v>42229</v>
      </c>
      <c r="E282" s="149" t="s">
        <v>177</v>
      </c>
      <c r="G282">
        <v>10</v>
      </c>
      <c r="H282">
        <v>0</v>
      </c>
      <c r="I282">
        <v>0</v>
      </c>
      <c r="J282">
        <v>0</v>
      </c>
      <c r="K282">
        <v>0</v>
      </c>
      <c r="L282" s="92">
        <v>1</v>
      </c>
      <c r="M282" s="289" t="s">
        <v>429</v>
      </c>
      <c r="N282" s="268"/>
      <c r="O282" s="268"/>
      <c r="P282" s="268"/>
      <c r="Q282" s="268"/>
      <c r="R282" s="268"/>
      <c r="S282" s="268"/>
      <c r="T282" s="268"/>
      <c r="U282" s="268"/>
      <c r="V282" s="269"/>
      <c r="W282" s="198" t="s">
        <v>289</v>
      </c>
      <c r="X282" s="93">
        <v>42230</v>
      </c>
      <c r="Y282" t="s">
        <v>138</v>
      </c>
    </row>
    <row r="283" spans="1:25" ht="36" customHeight="1" x14ac:dyDescent="0.3">
      <c r="A283" s="142" t="s">
        <v>223</v>
      </c>
      <c r="B283" s="143">
        <v>42230</v>
      </c>
      <c r="C283" s="256">
        <v>178595</v>
      </c>
      <c r="D283" s="149">
        <v>42202</v>
      </c>
      <c r="E283" s="149">
        <v>42235</v>
      </c>
      <c r="G283">
        <v>11</v>
      </c>
      <c r="H283">
        <v>0</v>
      </c>
      <c r="I283">
        <v>0</v>
      </c>
      <c r="J283">
        <v>0</v>
      </c>
      <c r="K283">
        <v>0</v>
      </c>
      <c r="L283" s="92">
        <v>1</v>
      </c>
      <c r="M283" s="289" t="s">
        <v>430</v>
      </c>
      <c r="N283" s="268"/>
      <c r="O283" s="268"/>
      <c r="P283" s="268"/>
      <c r="Q283" s="268"/>
      <c r="R283" s="268"/>
      <c r="S283" s="268"/>
      <c r="T283" s="268"/>
      <c r="U283" s="268"/>
      <c r="V283" s="269"/>
      <c r="W283" s="198" t="s">
        <v>289</v>
      </c>
      <c r="X283" s="93">
        <v>42230</v>
      </c>
      <c r="Y283" t="s">
        <v>138</v>
      </c>
    </row>
    <row r="284" spans="1:25" ht="36" customHeight="1" x14ac:dyDescent="0.3">
      <c r="A284" s="142" t="s">
        <v>412</v>
      </c>
      <c r="B284" s="143">
        <v>42230</v>
      </c>
      <c r="C284" s="256">
        <v>63814</v>
      </c>
      <c r="D284" s="149">
        <v>42228</v>
      </c>
      <c r="E284" s="149" t="s">
        <v>177</v>
      </c>
      <c r="G284">
        <v>11</v>
      </c>
      <c r="H284">
        <v>0</v>
      </c>
      <c r="I284">
        <v>0</v>
      </c>
      <c r="J284">
        <v>0</v>
      </c>
      <c r="K284">
        <v>0</v>
      </c>
      <c r="L284" s="92">
        <v>1</v>
      </c>
      <c r="M284" s="289" t="s">
        <v>431</v>
      </c>
      <c r="N284" s="268"/>
      <c r="O284" s="268"/>
      <c r="P284" s="268"/>
      <c r="Q284" s="268"/>
      <c r="R284" s="268"/>
      <c r="S284" s="268"/>
      <c r="T284" s="268"/>
      <c r="U284" s="268"/>
      <c r="V284" s="269"/>
      <c r="W284" s="198" t="s">
        <v>289</v>
      </c>
      <c r="X284" s="93">
        <v>42230</v>
      </c>
      <c r="Y284" t="s">
        <v>138</v>
      </c>
    </row>
    <row r="285" spans="1:25" ht="36" customHeight="1" x14ac:dyDescent="0.3">
      <c r="A285" s="142" t="s">
        <v>330</v>
      </c>
      <c r="B285" s="143">
        <v>42230</v>
      </c>
      <c r="C285" s="256">
        <v>212467</v>
      </c>
      <c r="D285" s="149">
        <v>42144</v>
      </c>
      <c r="E285" s="149" t="s">
        <v>177</v>
      </c>
      <c r="G285">
        <v>8</v>
      </c>
      <c r="H285">
        <v>2</v>
      </c>
      <c r="I285">
        <v>0</v>
      </c>
      <c r="J285">
        <v>0</v>
      </c>
      <c r="K285">
        <v>0</v>
      </c>
      <c r="L285" s="92">
        <v>1</v>
      </c>
      <c r="M285" s="289" t="s">
        <v>432</v>
      </c>
      <c r="N285" s="268"/>
      <c r="O285" s="268"/>
      <c r="P285" s="268"/>
      <c r="Q285" s="268"/>
      <c r="R285" s="268"/>
      <c r="S285" s="268"/>
      <c r="T285" s="268"/>
      <c r="U285" s="268"/>
      <c r="V285" s="269"/>
      <c r="W285" s="198" t="s">
        <v>289</v>
      </c>
      <c r="X285" s="93">
        <v>42230</v>
      </c>
      <c r="Y285" t="s">
        <v>138</v>
      </c>
    </row>
    <row r="286" spans="1:25" ht="36" customHeight="1" x14ac:dyDescent="0.3">
      <c r="A286" s="142" t="s">
        <v>433</v>
      </c>
      <c r="B286" s="143">
        <v>42230</v>
      </c>
      <c r="C286" s="256">
        <v>168385</v>
      </c>
      <c r="D286" s="149">
        <v>42212</v>
      </c>
      <c r="E286" s="149">
        <v>42228</v>
      </c>
      <c r="G286">
        <v>9</v>
      </c>
      <c r="H286">
        <v>1</v>
      </c>
      <c r="I286">
        <v>0</v>
      </c>
      <c r="J286">
        <v>0</v>
      </c>
      <c r="K286">
        <v>0</v>
      </c>
      <c r="L286" s="92">
        <v>1</v>
      </c>
      <c r="M286" s="289" t="s">
        <v>434</v>
      </c>
      <c r="N286" s="268"/>
      <c r="O286" s="268"/>
      <c r="P286" s="268"/>
      <c r="Q286" s="268"/>
      <c r="R286" s="268"/>
      <c r="S286" s="268"/>
      <c r="T286" s="268"/>
      <c r="U286" s="268"/>
      <c r="V286" s="269"/>
      <c r="W286" s="198" t="s">
        <v>289</v>
      </c>
      <c r="X286" s="93">
        <v>42230</v>
      </c>
      <c r="Y286" t="s">
        <v>138</v>
      </c>
    </row>
    <row r="287" spans="1:25" ht="36" customHeight="1" x14ac:dyDescent="0.3">
      <c r="A287" s="142" t="s">
        <v>210</v>
      </c>
      <c r="B287" s="143">
        <v>42230</v>
      </c>
      <c r="C287" s="256">
        <v>73096</v>
      </c>
      <c r="D287" s="149">
        <v>42153</v>
      </c>
      <c r="E287" s="149">
        <v>42226</v>
      </c>
      <c r="G287">
        <v>10</v>
      </c>
      <c r="H287">
        <v>0</v>
      </c>
      <c r="I287">
        <v>0</v>
      </c>
      <c r="J287">
        <v>0</v>
      </c>
      <c r="K287">
        <v>0</v>
      </c>
      <c r="L287" s="92">
        <v>1</v>
      </c>
      <c r="M287" s="289" t="s">
        <v>435</v>
      </c>
      <c r="N287" s="268"/>
      <c r="O287" s="268"/>
      <c r="P287" s="268"/>
      <c r="Q287" s="268"/>
      <c r="R287" s="268"/>
      <c r="S287" s="268"/>
      <c r="T287" s="268"/>
      <c r="U287" s="268"/>
      <c r="V287" s="269"/>
      <c r="W287" s="198" t="s">
        <v>289</v>
      </c>
      <c r="X287" s="93">
        <v>42230</v>
      </c>
      <c r="Y287" t="s">
        <v>138</v>
      </c>
    </row>
    <row r="288" spans="1:25" ht="36" customHeight="1" x14ac:dyDescent="0.3">
      <c r="A288" s="142" t="s">
        <v>157</v>
      </c>
      <c r="B288" s="143">
        <v>42230</v>
      </c>
      <c r="C288" s="256">
        <v>17272</v>
      </c>
      <c r="D288" s="149">
        <v>42163</v>
      </c>
      <c r="E288" s="149">
        <v>42234</v>
      </c>
      <c r="G288">
        <v>11</v>
      </c>
      <c r="H288">
        <v>0</v>
      </c>
      <c r="I288">
        <v>0</v>
      </c>
      <c r="J288">
        <v>0</v>
      </c>
      <c r="K288">
        <v>0</v>
      </c>
      <c r="L288" s="92">
        <v>1</v>
      </c>
      <c r="M288" s="289" t="s">
        <v>436</v>
      </c>
      <c r="N288" s="268"/>
      <c r="O288" s="268"/>
      <c r="P288" s="268"/>
      <c r="Q288" s="268"/>
      <c r="R288" s="268"/>
      <c r="S288" s="268"/>
      <c r="T288" s="268"/>
      <c r="U288" s="268"/>
      <c r="V288" s="269"/>
      <c r="W288" s="198" t="s">
        <v>289</v>
      </c>
      <c r="X288" s="93">
        <v>42230</v>
      </c>
      <c r="Y288" t="s">
        <v>138</v>
      </c>
    </row>
    <row r="289" spans="1:25" s="80" customFormat="1" ht="36" customHeight="1" thickBot="1" x14ac:dyDescent="0.35">
      <c r="A289" s="250" t="s">
        <v>415</v>
      </c>
      <c r="B289" s="208">
        <v>42230</v>
      </c>
      <c r="C289" s="262">
        <v>3153</v>
      </c>
      <c r="D289" s="80" t="s">
        <v>103</v>
      </c>
      <c r="E289" s="149">
        <v>42234</v>
      </c>
      <c r="G289" s="80">
        <v>10</v>
      </c>
      <c r="H289" s="80">
        <v>0</v>
      </c>
      <c r="I289" s="80">
        <v>0</v>
      </c>
      <c r="J289" s="80">
        <v>0</v>
      </c>
      <c r="K289" s="80">
        <v>0</v>
      </c>
      <c r="L289" s="81">
        <v>1</v>
      </c>
      <c r="M289" s="290" t="s">
        <v>103</v>
      </c>
      <c r="N289" s="287"/>
      <c r="O289" s="287"/>
      <c r="P289" s="287"/>
      <c r="Q289" s="287"/>
      <c r="R289" s="287"/>
      <c r="S289" s="287"/>
      <c r="T289" s="287"/>
      <c r="U289" s="287"/>
      <c r="V289" s="288"/>
      <c r="W289" s="211" t="s">
        <v>289</v>
      </c>
      <c r="X289" s="82">
        <v>42230</v>
      </c>
      <c r="Y289" s="80" t="s">
        <v>138</v>
      </c>
    </row>
    <row r="290" spans="1:25" ht="36" customHeight="1" x14ac:dyDescent="0.3">
      <c r="A290" s="142" t="s">
        <v>223</v>
      </c>
      <c r="B290" s="143">
        <v>42237</v>
      </c>
      <c r="C290" s="256">
        <v>11716</v>
      </c>
      <c r="D290" s="149">
        <v>42040</v>
      </c>
      <c r="E290" s="149" t="s">
        <v>177</v>
      </c>
      <c r="G290">
        <v>14</v>
      </c>
      <c r="H290">
        <v>1</v>
      </c>
      <c r="I290">
        <v>0</v>
      </c>
      <c r="J290">
        <v>0</v>
      </c>
      <c r="K290">
        <v>1</v>
      </c>
      <c r="L290" s="92">
        <v>0.93333333333333335</v>
      </c>
      <c r="M290" s="289" t="s">
        <v>437</v>
      </c>
      <c r="N290" s="268"/>
      <c r="O290" s="268"/>
      <c r="P290" s="268"/>
      <c r="Q290" s="268"/>
      <c r="R290" s="268"/>
      <c r="S290" s="268"/>
      <c r="T290" s="268"/>
      <c r="U290" s="268"/>
      <c r="V290" s="269"/>
      <c r="W290" s="204" t="s">
        <v>289</v>
      </c>
      <c r="X290" s="93">
        <v>42237</v>
      </c>
      <c r="Y290" t="s">
        <v>132</v>
      </c>
    </row>
    <row r="291" spans="1:25" ht="36" customHeight="1" x14ac:dyDescent="0.3">
      <c r="A291" s="142" t="s">
        <v>438</v>
      </c>
      <c r="B291" s="143">
        <v>42237</v>
      </c>
      <c r="C291" s="256">
        <v>172660</v>
      </c>
      <c r="D291" s="149">
        <v>42205</v>
      </c>
      <c r="E291" s="149" t="s">
        <v>9</v>
      </c>
      <c r="G291">
        <v>12</v>
      </c>
      <c r="H291">
        <v>0</v>
      </c>
      <c r="I291">
        <v>0</v>
      </c>
      <c r="J291">
        <v>0</v>
      </c>
      <c r="K291">
        <v>0</v>
      </c>
      <c r="L291" s="92">
        <v>1</v>
      </c>
      <c r="M291" s="289" t="s">
        <v>439</v>
      </c>
      <c r="N291" s="268"/>
      <c r="O291" s="268"/>
      <c r="P291" s="268"/>
      <c r="Q291" s="268"/>
      <c r="R291" s="268"/>
      <c r="S291" s="268"/>
      <c r="T291" s="268"/>
      <c r="U291" s="268"/>
      <c r="V291" s="269"/>
      <c r="W291" s="198" t="s">
        <v>289</v>
      </c>
      <c r="X291" s="93">
        <v>42237</v>
      </c>
      <c r="Y291" t="s">
        <v>132</v>
      </c>
    </row>
    <row r="292" spans="1:25" ht="36" customHeight="1" x14ac:dyDescent="0.3">
      <c r="A292" s="142" t="s">
        <v>414</v>
      </c>
      <c r="B292" s="143">
        <v>42237</v>
      </c>
      <c r="C292" s="256">
        <v>252391</v>
      </c>
      <c r="D292" s="149">
        <v>42229</v>
      </c>
      <c r="E292" s="149">
        <v>42230</v>
      </c>
      <c r="G292">
        <v>9</v>
      </c>
      <c r="H292">
        <v>1</v>
      </c>
      <c r="I292">
        <v>0</v>
      </c>
      <c r="J292">
        <v>0</v>
      </c>
      <c r="K292">
        <v>1</v>
      </c>
      <c r="L292" s="92">
        <v>0.9</v>
      </c>
      <c r="M292" s="289" t="s">
        <v>440</v>
      </c>
      <c r="N292" s="268"/>
      <c r="O292" s="268"/>
      <c r="P292" s="268"/>
      <c r="Q292" s="268"/>
      <c r="R292" s="268"/>
      <c r="S292" s="268"/>
      <c r="T292" s="268"/>
      <c r="U292" s="268"/>
      <c r="V292" s="269"/>
      <c r="W292" s="198" t="s">
        <v>289</v>
      </c>
      <c r="X292" s="93">
        <v>42237</v>
      </c>
      <c r="Y292" t="s">
        <v>132</v>
      </c>
    </row>
    <row r="293" spans="1:25" ht="36" customHeight="1" x14ac:dyDescent="0.3">
      <c r="A293" s="142" t="s">
        <v>414</v>
      </c>
      <c r="B293" s="143">
        <v>42237</v>
      </c>
      <c r="C293" s="256">
        <v>252391</v>
      </c>
      <c r="D293" s="149">
        <v>42229</v>
      </c>
      <c r="E293" s="149">
        <v>42230</v>
      </c>
      <c r="G293">
        <v>14</v>
      </c>
      <c r="H293">
        <v>1</v>
      </c>
      <c r="I293">
        <v>0</v>
      </c>
      <c r="J293">
        <v>0</v>
      </c>
      <c r="K293">
        <v>1</v>
      </c>
      <c r="L293" s="92">
        <v>0.93333333333333335</v>
      </c>
      <c r="M293" s="289" t="s">
        <v>441</v>
      </c>
      <c r="N293" s="268"/>
      <c r="O293" s="268"/>
      <c r="P293" s="268"/>
      <c r="Q293" s="268"/>
      <c r="R293" s="268"/>
      <c r="S293" s="268"/>
      <c r="T293" s="268"/>
      <c r="U293" s="268"/>
      <c r="V293" s="269"/>
      <c r="W293" s="198" t="s">
        <v>289</v>
      </c>
      <c r="X293" s="93">
        <v>42237</v>
      </c>
      <c r="Y293" t="s">
        <v>132</v>
      </c>
    </row>
    <row r="294" spans="1:25" ht="36" customHeight="1" x14ac:dyDescent="0.3">
      <c r="A294" s="142" t="s">
        <v>210</v>
      </c>
      <c r="B294" s="143">
        <v>42237</v>
      </c>
      <c r="C294" s="256">
        <v>142458</v>
      </c>
      <c r="D294" s="149">
        <v>42227</v>
      </c>
      <c r="E294" s="149" t="s">
        <v>177</v>
      </c>
      <c r="G294">
        <v>15</v>
      </c>
      <c r="H294">
        <v>0</v>
      </c>
      <c r="I294">
        <v>0</v>
      </c>
      <c r="J294">
        <v>0</v>
      </c>
      <c r="K294">
        <v>0</v>
      </c>
      <c r="L294" s="92">
        <v>1</v>
      </c>
      <c r="M294" s="289" t="s">
        <v>442</v>
      </c>
      <c r="N294" s="268"/>
      <c r="O294" s="268"/>
      <c r="P294" s="268"/>
      <c r="Q294" s="268"/>
      <c r="R294" s="268"/>
      <c r="S294" s="268"/>
      <c r="T294" s="268"/>
      <c r="U294" s="268"/>
      <c r="V294" s="269"/>
      <c r="W294" s="198" t="s">
        <v>289</v>
      </c>
      <c r="X294" s="93">
        <v>42237</v>
      </c>
      <c r="Y294" t="s">
        <v>132</v>
      </c>
    </row>
    <row r="295" spans="1:25" ht="36" customHeight="1" x14ac:dyDescent="0.3">
      <c r="A295" s="142" t="s">
        <v>210</v>
      </c>
      <c r="B295" s="143">
        <v>42237</v>
      </c>
      <c r="C295" s="256">
        <v>76079</v>
      </c>
      <c r="D295" s="149">
        <v>42222</v>
      </c>
      <c r="E295" s="149" t="s">
        <v>177</v>
      </c>
      <c r="G295">
        <v>16</v>
      </c>
      <c r="H295">
        <v>0</v>
      </c>
      <c r="I295">
        <v>0</v>
      </c>
      <c r="J295">
        <v>0</v>
      </c>
      <c r="K295">
        <v>0</v>
      </c>
      <c r="L295" s="92">
        <v>1</v>
      </c>
      <c r="M295" s="289" t="s">
        <v>171</v>
      </c>
      <c r="N295" s="268"/>
      <c r="O295" s="268"/>
      <c r="P295" s="268"/>
      <c r="Q295" s="268"/>
      <c r="R295" s="268"/>
      <c r="S295" s="268"/>
      <c r="T295" s="268"/>
      <c r="U295" s="268"/>
      <c r="V295" s="269"/>
      <c r="W295" s="198" t="s">
        <v>289</v>
      </c>
      <c r="X295" s="93">
        <v>42237</v>
      </c>
      <c r="Y295" t="s">
        <v>132</v>
      </c>
    </row>
    <row r="296" spans="1:25" ht="36" customHeight="1" x14ac:dyDescent="0.3">
      <c r="A296" s="142" t="s">
        <v>156</v>
      </c>
      <c r="B296" s="143">
        <v>42237</v>
      </c>
      <c r="C296" s="256">
        <v>271463</v>
      </c>
      <c r="D296" s="149">
        <v>42230</v>
      </c>
      <c r="E296" s="149" t="s">
        <v>177</v>
      </c>
      <c r="G296">
        <v>16</v>
      </c>
      <c r="H296">
        <v>0</v>
      </c>
      <c r="I296">
        <v>0</v>
      </c>
      <c r="J296">
        <v>0</v>
      </c>
      <c r="K296">
        <v>0</v>
      </c>
      <c r="L296" s="92">
        <v>1</v>
      </c>
      <c r="M296" s="289" t="s">
        <v>213</v>
      </c>
      <c r="N296" s="268"/>
      <c r="O296" s="268"/>
      <c r="P296" s="268"/>
      <c r="Q296" s="268"/>
      <c r="R296" s="268"/>
      <c r="S296" s="268"/>
      <c r="T296" s="268"/>
      <c r="U296" s="268"/>
      <c r="V296" s="269"/>
      <c r="W296" s="198" t="s">
        <v>289</v>
      </c>
      <c r="X296" s="93">
        <v>42237</v>
      </c>
      <c r="Y296" t="s">
        <v>132</v>
      </c>
    </row>
    <row r="297" spans="1:25" ht="36" customHeight="1" x14ac:dyDescent="0.3">
      <c r="A297" s="142" t="s">
        <v>156</v>
      </c>
      <c r="B297" s="143" t="s">
        <v>443</v>
      </c>
      <c r="C297" s="256">
        <v>253121</v>
      </c>
      <c r="D297" s="149">
        <v>42230</v>
      </c>
      <c r="E297" s="149">
        <v>42242</v>
      </c>
      <c r="G297">
        <v>15</v>
      </c>
      <c r="H297">
        <v>0</v>
      </c>
      <c r="I297">
        <v>0</v>
      </c>
      <c r="J297">
        <v>0</v>
      </c>
      <c r="K297">
        <v>0</v>
      </c>
      <c r="L297" s="92">
        <v>1</v>
      </c>
      <c r="M297" s="289" t="s">
        <v>9</v>
      </c>
      <c r="N297" s="268"/>
      <c r="O297" s="268"/>
      <c r="P297" s="268"/>
      <c r="Q297" s="268"/>
      <c r="R297" s="268"/>
      <c r="S297" s="268"/>
      <c r="T297" s="268"/>
      <c r="U297" s="268"/>
      <c r="V297" s="269"/>
      <c r="W297" s="198" t="s">
        <v>289</v>
      </c>
      <c r="X297" s="93">
        <v>42237</v>
      </c>
      <c r="Y297" t="s">
        <v>132</v>
      </c>
    </row>
    <row r="298" spans="1:25" ht="36" customHeight="1" x14ac:dyDescent="0.3">
      <c r="A298" s="142" t="s">
        <v>379</v>
      </c>
      <c r="B298" s="143">
        <v>42237</v>
      </c>
      <c r="C298" s="256">
        <v>250157</v>
      </c>
      <c r="D298" s="149">
        <v>42231</v>
      </c>
      <c r="E298" s="149" t="s">
        <v>177</v>
      </c>
      <c r="G298">
        <v>14</v>
      </c>
      <c r="H298">
        <v>1</v>
      </c>
      <c r="I298">
        <v>0</v>
      </c>
      <c r="J298">
        <v>0</v>
      </c>
      <c r="K298">
        <v>1</v>
      </c>
      <c r="L298" s="92">
        <v>0.93333333333333335</v>
      </c>
      <c r="M298" s="289" t="s">
        <v>444</v>
      </c>
      <c r="N298" s="268"/>
      <c r="O298" s="268"/>
      <c r="P298" s="268"/>
      <c r="Q298" s="268"/>
      <c r="R298" s="268"/>
      <c r="S298" s="268"/>
      <c r="T298" s="268"/>
      <c r="U298" s="268"/>
      <c r="V298" s="269"/>
      <c r="W298" s="198" t="s">
        <v>289</v>
      </c>
      <c r="X298" s="93">
        <v>42237</v>
      </c>
      <c r="Y298" t="s">
        <v>132</v>
      </c>
    </row>
    <row r="299" spans="1:25" ht="36" customHeight="1" x14ac:dyDescent="0.3">
      <c r="A299" s="142" t="s">
        <v>379</v>
      </c>
      <c r="B299" s="143">
        <v>42237</v>
      </c>
      <c r="C299" s="256" t="s">
        <v>9</v>
      </c>
      <c r="D299" s="149" t="s">
        <v>9</v>
      </c>
      <c r="E299" s="149" t="s">
        <v>177</v>
      </c>
      <c r="G299">
        <v>5</v>
      </c>
      <c r="H299">
        <v>7</v>
      </c>
      <c r="I299">
        <v>0</v>
      </c>
      <c r="J299">
        <v>0</v>
      </c>
      <c r="K299">
        <v>6</v>
      </c>
      <c r="L299" s="92">
        <v>0</v>
      </c>
      <c r="M299" s="289" t="s">
        <v>445</v>
      </c>
      <c r="N299" s="268"/>
      <c r="O299" s="268"/>
      <c r="P299" s="268"/>
      <c r="Q299" s="268"/>
      <c r="R299" s="268"/>
      <c r="S299" s="268"/>
      <c r="T299" s="268"/>
      <c r="U299" s="268"/>
      <c r="V299" s="269"/>
      <c r="W299" s="198" t="s">
        <v>289</v>
      </c>
      <c r="X299" s="93">
        <v>42237</v>
      </c>
      <c r="Y299" t="s">
        <v>132</v>
      </c>
    </row>
    <row r="300" spans="1:25" ht="36" customHeight="1" x14ac:dyDescent="0.3">
      <c r="A300" s="142" t="s">
        <v>446</v>
      </c>
      <c r="B300" s="143">
        <v>42237</v>
      </c>
      <c r="C300" s="256">
        <v>76718</v>
      </c>
      <c r="D300" s="149">
        <v>42228</v>
      </c>
      <c r="E300" s="149">
        <v>42242</v>
      </c>
      <c r="G300">
        <v>17</v>
      </c>
      <c r="H300">
        <v>0</v>
      </c>
      <c r="I300">
        <v>0</v>
      </c>
      <c r="J300">
        <v>0</v>
      </c>
      <c r="K300">
        <v>0</v>
      </c>
      <c r="L300" s="92">
        <v>1</v>
      </c>
      <c r="M300" s="289" t="s">
        <v>360</v>
      </c>
      <c r="N300" s="268"/>
      <c r="O300" s="268"/>
      <c r="P300" s="268"/>
      <c r="Q300" s="268"/>
      <c r="R300" s="268"/>
      <c r="S300" s="268"/>
      <c r="T300" s="268"/>
      <c r="U300" s="268"/>
      <c r="V300" s="269"/>
      <c r="W300" s="198" t="s">
        <v>289</v>
      </c>
      <c r="X300" s="93">
        <v>42237</v>
      </c>
      <c r="Y300" t="s">
        <v>132</v>
      </c>
    </row>
    <row r="301" spans="1:25" ht="36" customHeight="1" x14ac:dyDescent="0.3">
      <c r="A301" s="142" t="s">
        <v>172</v>
      </c>
      <c r="B301" s="143">
        <v>42237</v>
      </c>
      <c r="C301" s="256">
        <v>63029</v>
      </c>
      <c r="D301" s="149">
        <v>42229</v>
      </c>
      <c r="E301" s="149" t="s">
        <v>177</v>
      </c>
      <c r="G301">
        <v>16</v>
      </c>
      <c r="H301">
        <v>1</v>
      </c>
      <c r="I301">
        <v>0</v>
      </c>
      <c r="J301">
        <v>0</v>
      </c>
      <c r="K301">
        <v>1</v>
      </c>
      <c r="L301" s="92">
        <v>0.94117647058823528</v>
      </c>
      <c r="M301" s="289" t="s">
        <v>447</v>
      </c>
      <c r="N301" s="268"/>
      <c r="O301" s="268"/>
      <c r="P301" s="268"/>
      <c r="Q301" s="268"/>
      <c r="R301" s="268"/>
      <c r="S301" s="268"/>
      <c r="T301" s="268"/>
      <c r="U301" s="268"/>
      <c r="V301" s="269"/>
      <c r="W301" s="198" t="s">
        <v>289</v>
      </c>
      <c r="X301" s="93">
        <v>42237</v>
      </c>
      <c r="Y301" t="s">
        <v>132</v>
      </c>
    </row>
    <row r="302" spans="1:25" ht="36" customHeight="1" x14ac:dyDescent="0.3">
      <c r="A302" s="142" t="s">
        <v>220</v>
      </c>
      <c r="B302" s="143">
        <v>42237</v>
      </c>
      <c r="C302" s="256">
        <v>75338</v>
      </c>
      <c r="D302" s="149">
        <v>42229</v>
      </c>
      <c r="E302" s="149">
        <v>42248</v>
      </c>
      <c r="G302">
        <v>12</v>
      </c>
      <c r="H302">
        <v>5</v>
      </c>
      <c r="I302">
        <v>0</v>
      </c>
      <c r="J302">
        <v>1</v>
      </c>
      <c r="K302">
        <v>4</v>
      </c>
      <c r="L302" s="92">
        <v>0.75</v>
      </c>
      <c r="M302" s="289" t="s">
        <v>9</v>
      </c>
      <c r="N302" s="268"/>
      <c r="O302" s="268"/>
      <c r="P302" s="268"/>
      <c r="Q302" s="268"/>
      <c r="R302" s="268"/>
      <c r="S302" s="268"/>
      <c r="T302" s="268"/>
      <c r="U302" s="268"/>
      <c r="V302" s="269"/>
      <c r="W302" s="198" t="s">
        <v>289</v>
      </c>
      <c r="X302" s="93">
        <v>42237</v>
      </c>
      <c r="Y302" t="s">
        <v>132</v>
      </c>
    </row>
    <row r="303" spans="1:25" ht="36" customHeight="1" x14ac:dyDescent="0.3">
      <c r="A303" s="142">
        <v>242542</v>
      </c>
      <c r="B303" s="143">
        <v>42237</v>
      </c>
      <c r="C303" s="256">
        <v>24242</v>
      </c>
      <c r="D303" s="149">
        <v>42230</v>
      </c>
      <c r="E303" s="149">
        <v>42248</v>
      </c>
      <c r="G303">
        <v>10</v>
      </c>
      <c r="H303">
        <v>7</v>
      </c>
      <c r="I303">
        <v>0</v>
      </c>
      <c r="J303">
        <v>0</v>
      </c>
      <c r="K303">
        <v>6</v>
      </c>
      <c r="L303" s="92">
        <v>0.625</v>
      </c>
      <c r="M303" s="289" t="s">
        <v>448</v>
      </c>
      <c r="N303" s="268"/>
      <c r="O303" s="268"/>
      <c r="P303" s="268"/>
      <c r="Q303" s="268"/>
      <c r="R303" s="268"/>
      <c r="S303" s="268"/>
      <c r="T303" s="268"/>
      <c r="U303" s="268"/>
      <c r="V303" s="269"/>
      <c r="W303" s="198" t="s">
        <v>289</v>
      </c>
      <c r="X303" s="93">
        <v>42237</v>
      </c>
      <c r="Y303" t="s">
        <v>132</v>
      </c>
    </row>
    <row r="304" spans="1:25" ht="36" customHeight="1" x14ac:dyDescent="0.3">
      <c r="A304" s="142" t="s">
        <v>157</v>
      </c>
      <c r="B304" s="143">
        <v>42237</v>
      </c>
      <c r="C304" s="256" t="s">
        <v>174</v>
      </c>
      <c r="D304" s="149" t="s">
        <v>9</v>
      </c>
      <c r="E304" s="149">
        <v>42249</v>
      </c>
      <c r="G304">
        <v>0</v>
      </c>
      <c r="H304">
        <v>0</v>
      </c>
      <c r="I304">
        <v>0</v>
      </c>
      <c r="J304">
        <v>0</v>
      </c>
      <c r="K304">
        <v>0</v>
      </c>
      <c r="L304" s="92" t="e">
        <v>#DIV/0!</v>
      </c>
      <c r="M304" s="289" t="s">
        <v>174</v>
      </c>
      <c r="N304" s="268"/>
      <c r="O304" s="268"/>
      <c r="P304" s="268"/>
      <c r="Q304" s="268"/>
      <c r="R304" s="268"/>
      <c r="S304" s="268"/>
      <c r="T304" s="268"/>
      <c r="U304" s="268"/>
      <c r="V304" s="269"/>
      <c r="W304" s="198" t="s">
        <v>289</v>
      </c>
      <c r="X304" s="93">
        <v>42237</v>
      </c>
      <c r="Y304" t="s">
        <v>132</v>
      </c>
    </row>
    <row r="305" spans="1:25" s="80" customFormat="1" ht="36" customHeight="1" thickBot="1" x14ac:dyDescent="0.35">
      <c r="A305" s="250" t="s">
        <v>157</v>
      </c>
      <c r="B305" s="208">
        <v>42237</v>
      </c>
      <c r="C305" s="262" t="s">
        <v>174</v>
      </c>
      <c r="D305" s="210" t="s">
        <v>9</v>
      </c>
      <c r="E305" s="149">
        <v>42249</v>
      </c>
      <c r="G305" s="80">
        <v>0</v>
      </c>
      <c r="H305" s="80">
        <v>0</v>
      </c>
      <c r="I305" s="80">
        <v>0</v>
      </c>
      <c r="J305" s="80">
        <v>0</v>
      </c>
      <c r="K305" s="80">
        <v>0</v>
      </c>
      <c r="L305" s="81" t="e">
        <v>#DIV/0!</v>
      </c>
      <c r="M305" s="290" t="s">
        <v>174</v>
      </c>
      <c r="N305" s="287"/>
      <c r="O305" s="287"/>
      <c r="P305" s="287"/>
      <c r="Q305" s="287"/>
      <c r="R305" s="287"/>
      <c r="S305" s="287"/>
      <c r="T305" s="287"/>
      <c r="U305" s="287"/>
      <c r="V305" s="288"/>
      <c r="W305" s="211" t="s">
        <v>289</v>
      </c>
      <c r="X305" s="82">
        <v>42237</v>
      </c>
      <c r="Y305" s="80" t="s">
        <v>132</v>
      </c>
    </row>
    <row r="306" spans="1:25" ht="36" customHeight="1" x14ac:dyDescent="0.3">
      <c r="A306" s="244" t="s">
        <v>156</v>
      </c>
      <c r="B306" s="245">
        <v>42243</v>
      </c>
      <c r="C306" s="264" t="s">
        <v>310</v>
      </c>
      <c r="D306" s="247">
        <v>42045</v>
      </c>
      <c r="E306" s="149">
        <v>42250</v>
      </c>
      <c r="G306">
        <v>0</v>
      </c>
      <c r="H306">
        <v>0</v>
      </c>
      <c r="I306">
        <v>0</v>
      </c>
      <c r="J306">
        <v>0</v>
      </c>
      <c r="K306">
        <v>0</v>
      </c>
      <c r="L306" s="92" t="e">
        <v>#DIV/0!</v>
      </c>
      <c r="M306" s="291" t="s">
        <v>310</v>
      </c>
      <c r="N306" s="292"/>
      <c r="O306" s="292"/>
      <c r="P306" s="292"/>
      <c r="Q306" s="292"/>
      <c r="R306" s="292"/>
      <c r="S306" s="292"/>
      <c r="T306" s="292"/>
      <c r="U306" s="292"/>
      <c r="V306" s="293"/>
      <c r="W306" s="204" t="s">
        <v>289</v>
      </c>
      <c r="X306" s="93">
        <v>42243</v>
      </c>
      <c r="Y306" t="s">
        <v>132</v>
      </c>
    </row>
    <row r="307" spans="1:25" ht="36" customHeight="1" x14ac:dyDescent="0.3">
      <c r="A307" s="142" t="s">
        <v>210</v>
      </c>
      <c r="B307" s="143">
        <v>42243</v>
      </c>
      <c r="C307" s="256" t="s">
        <v>310</v>
      </c>
      <c r="D307" s="149">
        <v>42194</v>
      </c>
      <c r="E307" s="149">
        <v>42227</v>
      </c>
      <c r="G307">
        <v>0</v>
      </c>
      <c r="H307">
        <v>0</v>
      </c>
      <c r="I307">
        <v>0</v>
      </c>
      <c r="J307">
        <v>0</v>
      </c>
      <c r="K307">
        <v>0</v>
      </c>
      <c r="L307" s="92" t="e">
        <v>#DIV/0!</v>
      </c>
      <c r="M307" s="289" t="s">
        <v>310</v>
      </c>
      <c r="N307" s="268"/>
      <c r="O307" s="268"/>
      <c r="P307" s="268"/>
      <c r="Q307" s="268"/>
      <c r="R307" s="268"/>
      <c r="S307" s="268"/>
      <c r="T307" s="268"/>
      <c r="U307" s="268"/>
      <c r="V307" s="269"/>
      <c r="W307" s="198" t="s">
        <v>289</v>
      </c>
      <c r="X307" s="93">
        <v>42243</v>
      </c>
      <c r="Y307" t="s">
        <v>132</v>
      </c>
    </row>
    <row r="308" spans="1:25" ht="36" customHeight="1" x14ac:dyDescent="0.3">
      <c r="A308" s="142" t="s">
        <v>412</v>
      </c>
      <c r="B308" s="143">
        <v>42243</v>
      </c>
      <c r="C308" s="256">
        <v>64336</v>
      </c>
      <c r="D308" s="149">
        <v>42233</v>
      </c>
      <c r="E308" s="149">
        <v>42249</v>
      </c>
      <c r="G308">
        <v>14</v>
      </c>
      <c r="H308">
        <v>1</v>
      </c>
      <c r="I308">
        <v>0</v>
      </c>
      <c r="J308">
        <v>0</v>
      </c>
      <c r="K308">
        <v>1</v>
      </c>
      <c r="L308" s="92">
        <v>0.93333333333333335</v>
      </c>
      <c r="M308" s="289" t="s">
        <v>449</v>
      </c>
      <c r="N308" s="268"/>
      <c r="O308" s="268"/>
      <c r="P308" s="268"/>
      <c r="Q308" s="268"/>
      <c r="R308" s="268"/>
      <c r="S308" s="268"/>
      <c r="T308" s="268"/>
      <c r="U308" s="268"/>
      <c r="V308" s="269"/>
      <c r="W308" s="198" t="s">
        <v>289</v>
      </c>
      <c r="X308" s="93">
        <v>42243</v>
      </c>
      <c r="Y308" t="s">
        <v>132</v>
      </c>
    </row>
    <row r="309" spans="1:25" ht="36" customHeight="1" x14ac:dyDescent="0.3">
      <c r="A309" s="142" t="s">
        <v>412</v>
      </c>
      <c r="B309" s="143">
        <v>42243</v>
      </c>
      <c r="C309" s="256">
        <v>181875</v>
      </c>
      <c r="D309" s="149">
        <v>42186</v>
      </c>
      <c r="E309" s="149">
        <v>42226</v>
      </c>
      <c r="G309">
        <v>18</v>
      </c>
      <c r="H309">
        <v>1</v>
      </c>
      <c r="I309">
        <v>0</v>
      </c>
      <c r="J309">
        <v>0</v>
      </c>
      <c r="K309">
        <v>1</v>
      </c>
      <c r="L309" s="92">
        <v>0.94736842105263153</v>
      </c>
      <c r="M309" s="289" t="s">
        <v>450</v>
      </c>
      <c r="N309" s="268"/>
      <c r="O309" s="268"/>
      <c r="P309" s="268"/>
      <c r="Q309" s="268"/>
      <c r="R309" s="268"/>
      <c r="S309" s="268"/>
      <c r="T309" s="268"/>
      <c r="U309" s="268"/>
      <c r="V309" s="269"/>
      <c r="W309" s="198" t="s">
        <v>289</v>
      </c>
      <c r="X309" s="93">
        <v>42243</v>
      </c>
      <c r="Y309" t="s">
        <v>132</v>
      </c>
    </row>
    <row r="310" spans="1:25" ht="36" customHeight="1" x14ac:dyDescent="0.3">
      <c r="A310" s="142" t="s">
        <v>172</v>
      </c>
      <c r="B310" s="143">
        <v>42243</v>
      </c>
      <c r="C310" s="256">
        <v>115655</v>
      </c>
      <c r="D310" s="149">
        <v>41957</v>
      </c>
      <c r="E310" s="149">
        <v>42222</v>
      </c>
      <c r="G310">
        <v>12</v>
      </c>
      <c r="H310">
        <v>3</v>
      </c>
      <c r="I310">
        <v>0</v>
      </c>
      <c r="J310">
        <v>0</v>
      </c>
      <c r="K310">
        <v>1</v>
      </c>
      <c r="L310" s="92">
        <v>0.92307692307692313</v>
      </c>
      <c r="M310" s="289" t="s">
        <v>451</v>
      </c>
      <c r="N310" s="268"/>
      <c r="O310" s="268"/>
      <c r="P310" s="268"/>
      <c r="Q310" s="268"/>
      <c r="R310" s="268"/>
      <c r="S310" s="268"/>
      <c r="T310" s="268"/>
      <c r="U310" s="268"/>
      <c r="V310" s="269"/>
      <c r="W310" s="198" t="s">
        <v>289</v>
      </c>
      <c r="X310" s="93">
        <v>42243</v>
      </c>
      <c r="Y310" t="s">
        <v>132</v>
      </c>
    </row>
    <row r="311" spans="1:25" ht="36" customHeight="1" x14ac:dyDescent="0.3">
      <c r="A311" s="142" t="s">
        <v>172</v>
      </c>
      <c r="B311" s="143">
        <v>42243</v>
      </c>
      <c r="C311" s="256">
        <v>47261</v>
      </c>
      <c r="D311" s="149">
        <v>42223</v>
      </c>
      <c r="E311" s="149">
        <v>42256</v>
      </c>
      <c r="G311">
        <v>17</v>
      </c>
      <c r="H311">
        <v>1</v>
      </c>
      <c r="I311">
        <v>0</v>
      </c>
      <c r="J311">
        <v>0</v>
      </c>
      <c r="K311">
        <v>1</v>
      </c>
      <c r="L311" s="92">
        <v>0.94444444444444442</v>
      </c>
      <c r="M311" s="289" t="s">
        <v>452</v>
      </c>
      <c r="N311" s="268"/>
      <c r="O311" s="268"/>
      <c r="P311" s="268"/>
      <c r="Q311" s="268"/>
      <c r="R311" s="268"/>
      <c r="S311" s="268"/>
      <c r="T311" s="268"/>
      <c r="U311" s="268"/>
      <c r="V311" s="269"/>
      <c r="W311" s="198" t="s">
        <v>289</v>
      </c>
      <c r="X311" s="93">
        <v>42243</v>
      </c>
      <c r="Y311" t="s">
        <v>132</v>
      </c>
    </row>
    <row r="312" spans="1:25" ht="36" customHeight="1" x14ac:dyDescent="0.3">
      <c r="A312" s="142" t="s">
        <v>223</v>
      </c>
      <c r="B312" s="143">
        <v>42243</v>
      </c>
      <c r="C312" s="256">
        <v>10116</v>
      </c>
      <c r="D312" t="s">
        <v>62</v>
      </c>
      <c r="E312" s="149">
        <v>42257</v>
      </c>
      <c r="G312">
        <v>13</v>
      </c>
      <c r="H312">
        <v>0</v>
      </c>
      <c r="I312">
        <v>0</v>
      </c>
      <c r="J312">
        <v>0</v>
      </c>
      <c r="K312">
        <v>0</v>
      </c>
      <c r="L312" s="92">
        <v>1</v>
      </c>
      <c r="M312" s="289" t="s">
        <v>449</v>
      </c>
      <c r="N312" s="268"/>
      <c r="O312" s="268"/>
      <c r="P312" s="268"/>
      <c r="Q312" s="268"/>
      <c r="R312" s="268"/>
      <c r="S312" s="268"/>
      <c r="T312" s="268"/>
      <c r="U312" s="268"/>
      <c r="V312" s="269"/>
      <c r="W312" s="198" t="s">
        <v>289</v>
      </c>
      <c r="X312" s="93">
        <v>42243</v>
      </c>
      <c r="Y312" t="s">
        <v>132</v>
      </c>
    </row>
    <row r="313" spans="1:25" s="80" customFormat="1" ht="36" customHeight="1" thickBot="1" x14ac:dyDescent="0.35">
      <c r="A313" s="250" t="s">
        <v>379</v>
      </c>
      <c r="B313" s="208">
        <v>42243</v>
      </c>
      <c r="C313" s="262">
        <v>106241</v>
      </c>
      <c r="D313" s="80" t="s">
        <v>62</v>
      </c>
      <c r="E313" s="149">
        <v>42257</v>
      </c>
      <c r="G313" s="80">
        <v>16</v>
      </c>
      <c r="H313" s="80">
        <v>1</v>
      </c>
      <c r="I313" s="80">
        <v>0</v>
      </c>
      <c r="J313" s="80">
        <v>0</v>
      </c>
      <c r="K313" s="80">
        <v>1</v>
      </c>
      <c r="L313" s="81">
        <v>0.94117647058823528</v>
      </c>
      <c r="M313" s="290" t="s">
        <v>453</v>
      </c>
      <c r="N313" s="287"/>
      <c r="O313" s="287"/>
      <c r="P313" s="287"/>
      <c r="Q313" s="287"/>
      <c r="R313" s="287"/>
      <c r="S313" s="287"/>
      <c r="T313" s="287"/>
      <c r="U313" s="287"/>
      <c r="V313" s="288"/>
      <c r="W313" s="211" t="s">
        <v>289</v>
      </c>
      <c r="X313" s="82">
        <v>42243</v>
      </c>
      <c r="Y313" s="80" t="s">
        <v>132</v>
      </c>
    </row>
    <row r="314" spans="1:25" ht="36" customHeight="1" x14ac:dyDescent="0.3">
      <c r="A314" s="142" t="s">
        <v>454</v>
      </c>
      <c r="B314" s="143">
        <v>42250</v>
      </c>
      <c r="C314" s="256">
        <v>14485</v>
      </c>
      <c r="D314" s="149">
        <v>42216</v>
      </c>
      <c r="E314" s="149">
        <v>42259</v>
      </c>
      <c r="G314">
        <v>14</v>
      </c>
      <c r="H314">
        <v>1</v>
      </c>
      <c r="I314">
        <v>0</v>
      </c>
      <c r="J314">
        <v>0</v>
      </c>
      <c r="K314">
        <v>1</v>
      </c>
      <c r="L314" s="92">
        <v>0.93333333333333335</v>
      </c>
      <c r="M314" s="289" t="s">
        <v>455</v>
      </c>
      <c r="N314" s="268"/>
      <c r="O314" s="268"/>
      <c r="P314" s="268"/>
      <c r="Q314" s="268"/>
      <c r="R314" s="268"/>
      <c r="S314" s="268"/>
      <c r="T314" s="268"/>
      <c r="U314" s="268"/>
      <c r="V314" s="269"/>
      <c r="W314" s="204" t="s">
        <v>289</v>
      </c>
      <c r="X314" s="93">
        <v>42250</v>
      </c>
      <c r="Y314" t="s">
        <v>456</v>
      </c>
    </row>
    <row r="315" spans="1:25" ht="36" customHeight="1" x14ac:dyDescent="0.3">
      <c r="A315" s="142" t="s">
        <v>2</v>
      </c>
      <c r="B315" s="143">
        <v>42250</v>
      </c>
      <c r="C315" s="256">
        <v>81279</v>
      </c>
      <c r="D315" s="149">
        <v>42230</v>
      </c>
      <c r="E315" s="149">
        <v>42263</v>
      </c>
      <c r="G315">
        <v>13</v>
      </c>
      <c r="H315">
        <v>2</v>
      </c>
      <c r="I315">
        <v>0</v>
      </c>
      <c r="J315">
        <v>0</v>
      </c>
      <c r="K315">
        <v>2</v>
      </c>
      <c r="L315" s="92">
        <v>0.8666666666666667</v>
      </c>
      <c r="M315" s="267" t="s">
        <v>457</v>
      </c>
      <c r="N315" s="268"/>
      <c r="O315" s="268"/>
      <c r="P315" s="268"/>
      <c r="Q315" s="268"/>
      <c r="R315" s="268"/>
      <c r="S315" s="268"/>
      <c r="T315" s="268"/>
      <c r="U315" s="268"/>
      <c r="V315" s="269"/>
      <c r="W315" s="198" t="s">
        <v>289</v>
      </c>
      <c r="X315" s="93">
        <v>42250</v>
      </c>
      <c r="Y315" t="s">
        <v>456</v>
      </c>
    </row>
    <row r="316" spans="1:25" ht="36" customHeight="1" x14ac:dyDescent="0.3">
      <c r="A316" s="142" t="s">
        <v>379</v>
      </c>
      <c r="B316" s="143">
        <v>42250</v>
      </c>
      <c r="C316" s="256">
        <v>94403</v>
      </c>
      <c r="D316" s="149">
        <v>42230</v>
      </c>
      <c r="E316" s="149">
        <v>42259</v>
      </c>
      <c r="G316">
        <v>14</v>
      </c>
      <c r="H316">
        <v>1</v>
      </c>
      <c r="I316">
        <v>0</v>
      </c>
      <c r="J316">
        <v>0</v>
      </c>
      <c r="K316">
        <v>1</v>
      </c>
      <c r="L316" s="92">
        <v>0.93333333333333335</v>
      </c>
      <c r="M316" s="267" t="s">
        <v>458</v>
      </c>
      <c r="N316" s="268"/>
      <c r="O316" s="268"/>
      <c r="P316" s="268"/>
      <c r="Q316" s="268"/>
      <c r="R316" s="268"/>
      <c r="S316" s="268"/>
      <c r="T316" s="268"/>
      <c r="U316" s="268"/>
      <c r="V316" s="269"/>
      <c r="W316" s="198" t="s">
        <v>289</v>
      </c>
      <c r="X316" s="93">
        <v>42250</v>
      </c>
      <c r="Y316" t="s">
        <v>456</v>
      </c>
    </row>
    <row r="317" spans="1:25" ht="36" customHeight="1" x14ac:dyDescent="0.3">
      <c r="A317" s="142" t="s">
        <v>459</v>
      </c>
      <c r="B317" s="143">
        <v>42251</v>
      </c>
      <c r="C317" s="256">
        <v>64336</v>
      </c>
      <c r="D317" s="149">
        <v>42045</v>
      </c>
      <c r="E317" s="149">
        <v>42271</v>
      </c>
      <c r="G317">
        <v>22</v>
      </c>
      <c r="H317">
        <v>2</v>
      </c>
      <c r="I317">
        <v>0</v>
      </c>
      <c r="J317">
        <v>0</v>
      </c>
      <c r="K317">
        <v>2</v>
      </c>
      <c r="L317" s="92">
        <v>0.91666666666666663</v>
      </c>
      <c r="M317" s="267" t="s">
        <v>460</v>
      </c>
      <c r="N317" s="268"/>
      <c r="O317" s="268"/>
      <c r="P317" s="268"/>
      <c r="Q317" s="268"/>
      <c r="R317" s="268"/>
      <c r="S317" s="268"/>
      <c r="T317" s="268"/>
      <c r="U317" s="268"/>
      <c r="V317" s="269"/>
      <c r="W317" s="198" t="s">
        <v>289</v>
      </c>
      <c r="X317" s="93">
        <v>42251</v>
      </c>
      <c r="Y317" t="s">
        <v>132</v>
      </c>
    </row>
    <row r="318" spans="1:25" ht="36" customHeight="1" x14ac:dyDescent="0.3">
      <c r="A318" s="142" t="s">
        <v>172</v>
      </c>
      <c r="B318" s="143">
        <v>42251</v>
      </c>
      <c r="C318" s="256">
        <v>54430</v>
      </c>
      <c r="D318" s="149">
        <v>42233</v>
      </c>
      <c r="E318" s="149">
        <v>42257</v>
      </c>
      <c r="G318">
        <v>19</v>
      </c>
      <c r="H318">
        <v>3</v>
      </c>
      <c r="I318">
        <v>0</v>
      </c>
      <c r="J318">
        <v>0</v>
      </c>
      <c r="K318">
        <v>3</v>
      </c>
      <c r="L318" s="92">
        <v>0.86363636363636365</v>
      </c>
      <c r="M318" s="267" t="s">
        <v>461</v>
      </c>
      <c r="N318" s="268"/>
      <c r="O318" s="268"/>
      <c r="P318" s="268"/>
      <c r="Q318" s="268"/>
      <c r="R318" s="268"/>
      <c r="S318" s="268"/>
      <c r="T318" s="268"/>
      <c r="U318" s="268"/>
      <c r="V318" s="269"/>
      <c r="W318" s="198" t="s">
        <v>289</v>
      </c>
      <c r="X318" s="93">
        <v>42251</v>
      </c>
      <c r="Y318" t="s">
        <v>132</v>
      </c>
    </row>
    <row r="319" spans="1:25" ht="36" customHeight="1" x14ac:dyDescent="0.3">
      <c r="A319" s="142" t="s">
        <v>223</v>
      </c>
      <c r="B319" s="143">
        <v>42251</v>
      </c>
      <c r="C319" s="256">
        <v>16209</v>
      </c>
      <c r="D319" s="149">
        <v>42212</v>
      </c>
      <c r="E319" s="149">
        <v>42256</v>
      </c>
      <c r="G319">
        <v>10</v>
      </c>
      <c r="H319">
        <v>0</v>
      </c>
      <c r="I319">
        <v>0</v>
      </c>
      <c r="J319">
        <v>0</v>
      </c>
      <c r="K319">
        <v>0</v>
      </c>
      <c r="L319" s="92">
        <v>1</v>
      </c>
      <c r="M319" s="267" t="s">
        <v>462</v>
      </c>
      <c r="N319" s="268"/>
      <c r="O319" s="268"/>
      <c r="P319" s="268"/>
      <c r="Q319" s="268"/>
      <c r="R319" s="268"/>
      <c r="S319" s="268"/>
      <c r="T319" s="268"/>
      <c r="U319" s="268"/>
      <c r="V319" s="269"/>
      <c r="W319" s="198" t="s">
        <v>289</v>
      </c>
      <c r="X319" s="93">
        <v>42251</v>
      </c>
      <c r="Y319" t="s">
        <v>132</v>
      </c>
    </row>
    <row r="320" spans="1:25" ht="36" customHeight="1" x14ac:dyDescent="0.3">
      <c r="A320" s="142" t="s">
        <v>223</v>
      </c>
      <c r="B320" s="143">
        <v>42251</v>
      </c>
      <c r="C320" s="256">
        <v>90221</v>
      </c>
      <c r="D320" s="149">
        <v>42229</v>
      </c>
      <c r="E320" s="149">
        <v>42240</v>
      </c>
      <c r="G320">
        <v>22</v>
      </c>
      <c r="H320">
        <v>0</v>
      </c>
      <c r="I320">
        <v>0</v>
      </c>
      <c r="J320">
        <v>0</v>
      </c>
      <c r="K320">
        <v>0</v>
      </c>
      <c r="L320" s="92">
        <v>1</v>
      </c>
      <c r="M320" s="267" t="s">
        <v>9</v>
      </c>
      <c r="N320" s="268"/>
      <c r="O320" s="268"/>
      <c r="P320" s="268"/>
      <c r="Q320" s="268"/>
      <c r="R320" s="268"/>
      <c r="S320" s="268"/>
      <c r="T320" s="268"/>
      <c r="U320" s="268"/>
      <c r="V320" s="269"/>
      <c r="W320" s="198" t="s">
        <v>289</v>
      </c>
      <c r="X320" s="93">
        <v>42251</v>
      </c>
      <c r="Y320" t="s">
        <v>132</v>
      </c>
    </row>
    <row r="321" spans="1:25" ht="36" customHeight="1" x14ac:dyDescent="0.3">
      <c r="A321" s="142" t="s">
        <v>210</v>
      </c>
      <c r="B321" s="143">
        <v>42251</v>
      </c>
      <c r="C321" s="256">
        <v>10181</v>
      </c>
      <c r="D321" s="149">
        <v>42222</v>
      </c>
      <c r="E321" s="149">
        <v>42249</v>
      </c>
      <c r="G321">
        <v>7</v>
      </c>
      <c r="H321">
        <v>0</v>
      </c>
      <c r="I321">
        <v>0</v>
      </c>
      <c r="J321">
        <v>0</v>
      </c>
      <c r="K321">
        <v>0</v>
      </c>
      <c r="L321" s="92">
        <v>1</v>
      </c>
      <c r="M321" s="267" t="s">
        <v>463</v>
      </c>
      <c r="N321" s="268"/>
      <c r="O321" s="268"/>
      <c r="P321" s="268"/>
      <c r="Q321" s="268"/>
      <c r="R321" s="268"/>
      <c r="S321" s="268"/>
      <c r="T321" s="268"/>
      <c r="U321" s="268"/>
      <c r="V321" s="269"/>
      <c r="W321" s="198" t="s">
        <v>289</v>
      </c>
      <c r="X321" s="93">
        <v>42251</v>
      </c>
      <c r="Y321" t="s">
        <v>132</v>
      </c>
    </row>
    <row r="322" spans="1:25" ht="36" customHeight="1" x14ac:dyDescent="0.3">
      <c r="A322" s="142" t="s">
        <v>210</v>
      </c>
      <c r="B322" s="143">
        <v>42251</v>
      </c>
      <c r="C322" s="256">
        <v>73114</v>
      </c>
      <c r="D322" s="149">
        <v>42220</v>
      </c>
      <c r="E322" s="149">
        <v>42237</v>
      </c>
      <c r="G322">
        <v>14</v>
      </c>
      <c r="H322">
        <v>2</v>
      </c>
      <c r="I322">
        <v>0</v>
      </c>
      <c r="J322">
        <v>0</v>
      </c>
      <c r="K322">
        <v>2</v>
      </c>
      <c r="L322" s="92">
        <v>0.875</v>
      </c>
      <c r="M322" s="267" t="s">
        <v>464</v>
      </c>
      <c r="N322" s="268"/>
      <c r="O322" s="268"/>
      <c r="P322" s="268"/>
      <c r="Q322" s="268"/>
      <c r="R322" s="268"/>
      <c r="S322" s="268"/>
      <c r="T322" s="268"/>
      <c r="U322" s="268"/>
      <c r="V322" s="269"/>
      <c r="W322" s="198" t="s">
        <v>289</v>
      </c>
      <c r="X322" s="93">
        <v>42251</v>
      </c>
      <c r="Y322" t="s">
        <v>132</v>
      </c>
    </row>
    <row r="323" spans="1:25" ht="36" customHeight="1" x14ac:dyDescent="0.3">
      <c r="A323" s="142" t="s">
        <v>172</v>
      </c>
      <c r="B323" s="143">
        <v>42251</v>
      </c>
      <c r="C323" s="256">
        <v>5723</v>
      </c>
      <c r="D323" s="149">
        <v>42198</v>
      </c>
      <c r="E323" s="149">
        <v>42236</v>
      </c>
      <c r="G323">
        <v>8</v>
      </c>
      <c r="H323">
        <v>3</v>
      </c>
      <c r="I323">
        <v>0</v>
      </c>
      <c r="J323">
        <v>0</v>
      </c>
      <c r="K323">
        <v>0</v>
      </c>
      <c r="L323" s="92">
        <v>1</v>
      </c>
      <c r="M323" s="267" t="s">
        <v>465</v>
      </c>
      <c r="N323" s="268"/>
      <c r="O323" s="268"/>
      <c r="P323" s="268"/>
      <c r="Q323" s="268"/>
      <c r="R323" s="268"/>
      <c r="S323" s="268"/>
      <c r="T323" s="268"/>
      <c r="U323" s="268"/>
      <c r="V323" s="269"/>
      <c r="W323" s="198" t="s">
        <v>289</v>
      </c>
      <c r="X323" s="93">
        <v>42251</v>
      </c>
      <c r="Y323" t="s">
        <v>138</v>
      </c>
    </row>
    <row r="324" spans="1:25" ht="36" customHeight="1" x14ac:dyDescent="0.3">
      <c r="A324" s="142" t="s">
        <v>156</v>
      </c>
      <c r="B324" s="143">
        <v>42251</v>
      </c>
      <c r="C324" s="256">
        <v>17968</v>
      </c>
      <c r="D324" s="149">
        <v>42229</v>
      </c>
      <c r="E324" s="149">
        <v>42277</v>
      </c>
      <c r="G324">
        <v>7</v>
      </c>
      <c r="H324">
        <v>2</v>
      </c>
      <c r="I324">
        <v>0</v>
      </c>
      <c r="J324">
        <v>0</v>
      </c>
      <c r="K324">
        <v>0</v>
      </c>
      <c r="L324" s="92">
        <v>1</v>
      </c>
      <c r="M324" s="267" t="s">
        <v>466</v>
      </c>
      <c r="N324" s="268"/>
      <c r="O324" s="268"/>
      <c r="P324" s="268"/>
      <c r="Q324" s="268"/>
      <c r="R324" s="268"/>
      <c r="S324" s="268"/>
      <c r="T324" s="268"/>
      <c r="U324" s="268"/>
      <c r="V324" s="269"/>
      <c r="W324" s="198" t="s">
        <v>289</v>
      </c>
      <c r="X324" s="93">
        <v>42251</v>
      </c>
      <c r="Y324" t="s">
        <v>138</v>
      </c>
    </row>
    <row r="325" spans="1:25" ht="36" customHeight="1" x14ac:dyDescent="0.3">
      <c r="A325" s="142" t="s">
        <v>379</v>
      </c>
      <c r="B325" s="143">
        <v>42251</v>
      </c>
      <c r="C325" s="256">
        <v>3370</v>
      </c>
      <c r="D325" s="149">
        <v>42144</v>
      </c>
      <c r="E325" s="149" t="s">
        <v>196</v>
      </c>
      <c r="G325">
        <v>8</v>
      </c>
      <c r="H325">
        <v>1</v>
      </c>
      <c r="I325">
        <v>0</v>
      </c>
      <c r="J325">
        <v>0</v>
      </c>
      <c r="K325">
        <v>0</v>
      </c>
      <c r="L325" s="92">
        <v>1</v>
      </c>
      <c r="M325" s="267" t="s">
        <v>467</v>
      </c>
      <c r="N325" s="268"/>
      <c r="O325" s="268"/>
      <c r="P325" s="268"/>
      <c r="Q325" s="268"/>
      <c r="R325" s="268"/>
      <c r="S325" s="268"/>
      <c r="T325" s="268"/>
      <c r="U325" s="268"/>
      <c r="V325" s="269"/>
      <c r="W325" s="198" t="s">
        <v>289</v>
      </c>
      <c r="X325" s="93">
        <v>42251</v>
      </c>
      <c r="Y325" t="s">
        <v>138</v>
      </c>
    </row>
    <row r="326" spans="1:25" ht="36" customHeight="1" x14ac:dyDescent="0.3">
      <c r="A326" s="142" t="s">
        <v>412</v>
      </c>
      <c r="B326" s="143">
        <v>42258</v>
      </c>
      <c r="C326" s="256">
        <v>54526</v>
      </c>
      <c r="D326" s="149">
        <v>42229</v>
      </c>
      <c r="E326" s="149" t="s">
        <v>196</v>
      </c>
      <c r="G326">
        <v>9</v>
      </c>
      <c r="H326">
        <v>1</v>
      </c>
      <c r="I326">
        <v>0</v>
      </c>
      <c r="J326">
        <v>0</v>
      </c>
      <c r="K326">
        <v>0</v>
      </c>
      <c r="L326" s="92">
        <v>1</v>
      </c>
      <c r="M326" s="267" t="s">
        <v>468</v>
      </c>
      <c r="N326" s="268"/>
      <c r="O326" s="268"/>
      <c r="P326" s="268"/>
      <c r="Q326" s="268"/>
      <c r="R326" s="268"/>
      <c r="S326" s="268"/>
      <c r="T326" s="268"/>
      <c r="U326" s="268"/>
      <c r="V326" s="269"/>
      <c r="W326" s="198" t="s">
        <v>289</v>
      </c>
      <c r="X326" s="93">
        <v>42251</v>
      </c>
      <c r="Y326" t="s">
        <v>138</v>
      </c>
    </row>
    <row r="327" spans="1:25" s="80" customFormat="1" ht="36" customHeight="1" thickBot="1" x14ac:dyDescent="0.35">
      <c r="A327" s="250" t="s">
        <v>2</v>
      </c>
      <c r="B327" s="208">
        <v>42251</v>
      </c>
      <c r="C327" s="262">
        <v>112846</v>
      </c>
      <c r="D327" s="80" t="s">
        <v>9</v>
      </c>
      <c r="E327" s="149" t="s">
        <v>196</v>
      </c>
      <c r="G327" s="80">
        <v>11</v>
      </c>
      <c r="H327" s="80">
        <v>1</v>
      </c>
      <c r="I327" s="80">
        <v>0</v>
      </c>
      <c r="J327" s="80">
        <v>0</v>
      </c>
      <c r="K327" s="80">
        <v>0</v>
      </c>
      <c r="L327" s="81">
        <v>1</v>
      </c>
      <c r="M327" s="267" t="s">
        <v>469</v>
      </c>
      <c r="N327" s="268"/>
      <c r="O327" s="268"/>
      <c r="P327" s="268"/>
      <c r="Q327" s="268"/>
      <c r="R327" s="268"/>
      <c r="S327" s="268"/>
      <c r="T327" s="268"/>
      <c r="U327" s="268"/>
      <c r="V327" s="269"/>
      <c r="W327" s="211" t="s">
        <v>289</v>
      </c>
      <c r="X327" s="82">
        <v>42251</v>
      </c>
      <c r="Y327" s="80" t="s">
        <v>138</v>
      </c>
    </row>
    <row r="328" spans="1:25" ht="36" customHeight="1" x14ac:dyDescent="0.3">
      <c r="A328" s="142" t="s">
        <v>379</v>
      </c>
      <c r="B328" s="143">
        <v>42258</v>
      </c>
      <c r="C328" s="256">
        <v>158547</v>
      </c>
      <c r="D328" s="149">
        <v>42235</v>
      </c>
      <c r="E328" s="149" t="s">
        <v>196</v>
      </c>
      <c r="G328">
        <v>10</v>
      </c>
      <c r="H328">
        <v>0</v>
      </c>
      <c r="I328">
        <v>0</v>
      </c>
      <c r="J328">
        <v>0</v>
      </c>
      <c r="K328">
        <v>0</v>
      </c>
      <c r="L328" s="92">
        <v>1</v>
      </c>
      <c r="M328" s="267" t="s">
        <v>470</v>
      </c>
      <c r="N328" s="268"/>
      <c r="O328" s="268"/>
      <c r="P328" s="268"/>
      <c r="Q328" s="268"/>
      <c r="R328" s="268"/>
      <c r="S328" s="268"/>
      <c r="T328" s="268"/>
      <c r="U328" s="268"/>
      <c r="V328" s="269"/>
      <c r="W328" s="204" t="s">
        <v>289</v>
      </c>
      <c r="X328" s="93">
        <v>42258</v>
      </c>
      <c r="Y328" t="s">
        <v>138</v>
      </c>
    </row>
    <row r="329" spans="1:25" ht="36" customHeight="1" x14ac:dyDescent="0.3">
      <c r="A329" s="142" t="s">
        <v>223</v>
      </c>
      <c r="B329" s="143">
        <v>42258</v>
      </c>
      <c r="C329" s="256">
        <v>7931</v>
      </c>
      <c r="D329" s="149">
        <v>42235</v>
      </c>
      <c r="E329" s="149" t="s">
        <v>520</v>
      </c>
      <c r="G329">
        <v>10</v>
      </c>
      <c r="H329">
        <v>0</v>
      </c>
      <c r="I329">
        <v>0</v>
      </c>
      <c r="J329">
        <v>0</v>
      </c>
      <c r="K329">
        <v>0</v>
      </c>
      <c r="L329" s="92">
        <v>1</v>
      </c>
      <c r="M329" s="267" t="s">
        <v>471</v>
      </c>
      <c r="N329" s="268"/>
      <c r="O329" s="268"/>
      <c r="P329" s="268"/>
      <c r="Q329" s="268"/>
      <c r="R329" s="268"/>
      <c r="S329" s="268"/>
      <c r="T329" s="268"/>
      <c r="U329" s="268"/>
      <c r="V329" s="269"/>
      <c r="W329" s="198" t="s">
        <v>289</v>
      </c>
      <c r="X329" s="93">
        <v>42258</v>
      </c>
      <c r="Y329" t="s">
        <v>138</v>
      </c>
    </row>
    <row r="330" spans="1:25" ht="36" customHeight="1" x14ac:dyDescent="0.3">
      <c r="A330" s="142" t="s">
        <v>210</v>
      </c>
      <c r="B330" s="143">
        <v>42258</v>
      </c>
      <c r="C330" s="256">
        <v>7931</v>
      </c>
      <c r="D330" s="149">
        <v>42238</v>
      </c>
      <c r="E330" s="149" t="s">
        <v>196</v>
      </c>
      <c r="G330">
        <v>10</v>
      </c>
      <c r="H330">
        <v>0</v>
      </c>
      <c r="I330">
        <v>0</v>
      </c>
      <c r="J330">
        <v>0</v>
      </c>
      <c r="K330">
        <v>0</v>
      </c>
      <c r="L330" s="92">
        <v>1</v>
      </c>
      <c r="M330" s="267" t="s">
        <v>471</v>
      </c>
      <c r="N330" s="268"/>
      <c r="O330" s="268"/>
      <c r="P330" s="268"/>
      <c r="Q330" s="268"/>
      <c r="R330" s="268"/>
      <c r="S330" s="268"/>
      <c r="T330" s="268"/>
      <c r="U330" s="268"/>
      <c r="V330" s="269"/>
      <c r="W330" s="198" t="s">
        <v>289</v>
      </c>
      <c r="X330" s="93">
        <v>42261</v>
      </c>
      <c r="Y330" t="s">
        <v>138</v>
      </c>
    </row>
    <row r="331" spans="1:25" ht="36" customHeight="1" x14ac:dyDescent="0.3">
      <c r="A331" s="142" t="s">
        <v>472</v>
      </c>
      <c r="B331" s="143">
        <v>42258</v>
      </c>
      <c r="C331" s="256">
        <v>84602</v>
      </c>
      <c r="D331" s="149">
        <v>42234</v>
      </c>
      <c r="E331" s="149" t="s">
        <v>196</v>
      </c>
      <c r="G331">
        <v>10</v>
      </c>
      <c r="H331">
        <v>1</v>
      </c>
      <c r="I331">
        <v>0</v>
      </c>
      <c r="J331">
        <v>0</v>
      </c>
      <c r="K331">
        <v>0</v>
      </c>
      <c r="L331" s="92">
        <v>1</v>
      </c>
      <c r="M331" s="267" t="s">
        <v>473</v>
      </c>
      <c r="N331" s="268"/>
      <c r="O331" s="268"/>
      <c r="P331" s="268"/>
      <c r="Q331" s="268"/>
      <c r="R331" s="268"/>
      <c r="S331" s="268"/>
      <c r="T331" s="268"/>
      <c r="U331" s="268"/>
      <c r="V331" s="269"/>
      <c r="W331" s="198" t="s">
        <v>289</v>
      </c>
      <c r="X331" s="93">
        <v>42261</v>
      </c>
      <c r="Y331" t="s">
        <v>138</v>
      </c>
    </row>
    <row r="332" spans="1:25" ht="36" customHeight="1" x14ac:dyDescent="0.3">
      <c r="A332" s="142" t="s">
        <v>156</v>
      </c>
      <c r="B332" s="143">
        <v>42258</v>
      </c>
      <c r="C332" s="256">
        <v>3821</v>
      </c>
      <c r="D332" s="149">
        <v>42241</v>
      </c>
      <c r="E332" s="149" t="s">
        <v>196</v>
      </c>
      <c r="G332">
        <v>10</v>
      </c>
      <c r="H332">
        <v>0</v>
      </c>
      <c r="I332">
        <v>0</v>
      </c>
      <c r="J332">
        <v>0</v>
      </c>
      <c r="K332">
        <v>0</v>
      </c>
      <c r="L332" s="92">
        <v>1</v>
      </c>
      <c r="M332" s="267" t="s">
        <v>474</v>
      </c>
      <c r="N332" s="268"/>
      <c r="O332" s="268"/>
      <c r="P332" s="268"/>
      <c r="Q332" s="268"/>
      <c r="R332" s="268"/>
      <c r="S332" s="268"/>
      <c r="T332" s="268"/>
      <c r="U332" s="268"/>
      <c r="V332" s="269"/>
      <c r="W332" s="198" t="s">
        <v>289</v>
      </c>
      <c r="X332" s="93">
        <v>42261</v>
      </c>
      <c r="Y332" t="s">
        <v>138</v>
      </c>
    </row>
    <row r="333" spans="1:25" ht="36" customHeight="1" x14ac:dyDescent="0.3">
      <c r="A333" s="142" t="s">
        <v>438</v>
      </c>
      <c r="B333" s="143">
        <v>42258</v>
      </c>
      <c r="C333" s="256">
        <v>89745</v>
      </c>
      <c r="D333" s="149">
        <v>42242</v>
      </c>
      <c r="E333" s="149" t="s">
        <v>196</v>
      </c>
      <c r="G333">
        <v>9</v>
      </c>
      <c r="H333">
        <v>1</v>
      </c>
      <c r="I333">
        <v>0</v>
      </c>
      <c r="J333">
        <v>0</v>
      </c>
      <c r="K333">
        <v>0</v>
      </c>
      <c r="L333" s="92">
        <v>1</v>
      </c>
      <c r="M333" s="267" t="s">
        <v>475</v>
      </c>
      <c r="N333" s="268"/>
      <c r="O333" s="268"/>
      <c r="P333" s="268"/>
      <c r="Q333" s="268"/>
      <c r="R333" s="268"/>
      <c r="S333" s="268"/>
      <c r="T333" s="268"/>
      <c r="U333" s="268"/>
      <c r="V333" s="269"/>
      <c r="W333" s="198" t="s">
        <v>289</v>
      </c>
      <c r="X333" s="93">
        <v>42261</v>
      </c>
      <c r="Y333" t="s">
        <v>138</v>
      </c>
    </row>
    <row r="334" spans="1:25" ht="36" customHeight="1" x14ac:dyDescent="0.3">
      <c r="A334" s="142" t="s">
        <v>412</v>
      </c>
      <c r="B334" s="143">
        <v>42258</v>
      </c>
      <c r="C334" s="256">
        <v>41639</v>
      </c>
      <c r="D334" s="149">
        <v>42241</v>
      </c>
      <c r="E334" s="149" t="s">
        <v>196</v>
      </c>
      <c r="G334">
        <v>15</v>
      </c>
      <c r="H334">
        <v>0</v>
      </c>
      <c r="I334">
        <v>0</v>
      </c>
      <c r="J334">
        <v>0</v>
      </c>
      <c r="K334">
        <v>0</v>
      </c>
      <c r="L334" s="92">
        <v>1</v>
      </c>
      <c r="M334" s="267" t="s">
        <v>476</v>
      </c>
      <c r="N334" s="268"/>
      <c r="O334" s="268"/>
      <c r="P334" s="268"/>
      <c r="Q334" s="268"/>
      <c r="R334" s="268"/>
      <c r="S334" s="268"/>
      <c r="T334" s="268"/>
      <c r="U334" s="268"/>
      <c r="V334" s="269"/>
      <c r="W334" s="198" t="s">
        <v>289</v>
      </c>
      <c r="X334" s="93">
        <v>42261</v>
      </c>
      <c r="Y334" t="s">
        <v>138</v>
      </c>
    </row>
    <row r="335" spans="1:25" ht="36" customHeight="1" x14ac:dyDescent="0.3">
      <c r="A335" s="142" t="s">
        <v>210</v>
      </c>
      <c r="B335" s="143">
        <v>42258</v>
      </c>
      <c r="C335" s="256">
        <v>136739</v>
      </c>
      <c r="D335" s="149">
        <v>42234</v>
      </c>
      <c r="E335" s="149">
        <v>42282</v>
      </c>
      <c r="G335">
        <v>11</v>
      </c>
      <c r="H335">
        <v>1</v>
      </c>
      <c r="I335">
        <v>0</v>
      </c>
      <c r="J335">
        <v>0</v>
      </c>
      <c r="K335">
        <v>0</v>
      </c>
      <c r="L335" s="92">
        <v>1</v>
      </c>
      <c r="M335" s="267" t="s">
        <v>477</v>
      </c>
      <c r="N335" s="268"/>
      <c r="O335" s="268"/>
      <c r="P335" s="268"/>
      <c r="Q335" s="268"/>
      <c r="R335" s="268"/>
      <c r="S335" s="268"/>
      <c r="T335" s="268"/>
      <c r="U335" s="268"/>
      <c r="V335" s="269"/>
      <c r="W335" s="198" t="s">
        <v>289</v>
      </c>
      <c r="X335" s="93">
        <v>42261</v>
      </c>
      <c r="Y335" t="s">
        <v>138</v>
      </c>
    </row>
    <row r="336" spans="1:25" ht="36" customHeight="1" x14ac:dyDescent="0.3">
      <c r="A336" s="142" t="s">
        <v>223</v>
      </c>
      <c r="B336" s="143">
        <v>42258</v>
      </c>
      <c r="C336" s="256">
        <v>200776</v>
      </c>
      <c r="D336" s="149">
        <v>42205</v>
      </c>
      <c r="E336" s="149" t="s">
        <v>196</v>
      </c>
      <c r="G336">
        <v>2</v>
      </c>
      <c r="H336">
        <v>0</v>
      </c>
      <c r="I336">
        <v>0</v>
      </c>
      <c r="J336">
        <v>0</v>
      </c>
      <c r="K336">
        <v>0</v>
      </c>
      <c r="L336" s="92">
        <v>1</v>
      </c>
      <c r="M336" s="267" t="s">
        <v>478</v>
      </c>
      <c r="N336" s="268"/>
      <c r="O336" s="268"/>
      <c r="P336" s="268"/>
      <c r="Q336" s="268"/>
      <c r="R336" s="268"/>
      <c r="S336" s="268"/>
      <c r="T336" s="268"/>
      <c r="U336" s="268"/>
      <c r="V336" s="269"/>
      <c r="W336" s="198" t="s">
        <v>289</v>
      </c>
      <c r="X336" s="93">
        <v>42261</v>
      </c>
      <c r="Y336" t="s">
        <v>138</v>
      </c>
    </row>
    <row r="337" spans="1:25" ht="36" customHeight="1" x14ac:dyDescent="0.3">
      <c r="A337" s="142" t="s">
        <v>2</v>
      </c>
      <c r="B337" s="143">
        <v>42258</v>
      </c>
      <c r="C337" s="256">
        <v>23247</v>
      </c>
      <c r="D337" s="149">
        <v>42251</v>
      </c>
      <c r="E337" s="149">
        <v>42285</v>
      </c>
      <c r="G337">
        <v>15</v>
      </c>
      <c r="H337">
        <v>1</v>
      </c>
      <c r="I337">
        <v>0</v>
      </c>
      <c r="J337">
        <v>0</v>
      </c>
      <c r="K337">
        <v>0</v>
      </c>
      <c r="L337" s="92">
        <v>1</v>
      </c>
      <c r="M337" s="267" t="s">
        <v>479</v>
      </c>
      <c r="N337" s="268"/>
      <c r="O337" s="268"/>
      <c r="P337" s="268"/>
      <c r="Q337" s="268"/>
      <c r="R337" s="268"/>
      <c r="S337" s="268"/>
      <c r="T337" s="268"/>
      <c r="U337" s="268"/>
      <c r="V337" s="269"/>
      <c r="W337" s="198" t="s">
        <v>289</v>
      </c>
      <c r="X337" s="93">
        <v>42261</v>
      </c>
      <c r="Y337" t="s">
        <v>138</v>
      </c>
    </row>
    <row r="338" spans="1:25" ht="36" customHeight="1" x14ac:dyDescent="0.3">
      <c r="A338" s="142" t="s">
        <v>2</v>
      </c>
      <c r="B338" s="143">
        <v>42258</v>
      </c>
      <c r="C338" s="256">
        <v>23247</v>
      </c>
      <c r="D338" s="149">
        <v>42235</v>
      </c>
      <c r="E338" s="149" t="s">
        <v>196</v>
      </c>
      <c r="G338">
        <v>27</v>
      </c>
      <c r="H338">
        <v>1</v>
      </c>
      <c r="I338">
        <v>0</v>
      </c>
      <c r="J338">
        <v>0</v>
      </c>
      <c r="K338">
        <v>0</v>
      </c>
      <c r="L338" s="92">
        <v>1</v>
      </c>
      <c r="M338" s="267" t="s">
        <v>480</v>
      </c>
      <c r="N338" s="268"/>
      <c r="O338" s="268"/>
      <c r="P338" s="268"/>
      <c r="Q338" s="268"/>
      <c r="R338" s="268"/>
      <c r="S338" s="268"/>
      <c r="T338" s="268"/>
      <c r="U338" s="268"/>
      <c r="V338" s="269"/>
      <c r="W338" s="198" t="s">
        <v>289</v>
      </c>
      <c r="X338" s="93">
        <v>42261</v>
      </c>
      <c r="Y338" t="s">
        <v>138</v>
      </c>
    </row>
    <row r="339" spans="1:25" ht="36" customHeight="1" x14ac:dyDescent="0.3">
      <c r="A339" s="142" t="s">
        <v>379</v>
      </c>
      <c r="B339" s="143" t="s">
        <v>481</v>
      </c>
      <c r="C339" s="256">
        <v>247998</v>
      </c>
      <c r="D339" s="149">
        <v>42217</v>
      </c>
      <c r="E339" s="149" t="s">
        <v>196</v>
      </c>
      <c r="G339">
        <v>5</v>
      </c>
      <c r="H339">
        <v>2</v>
      </c>
      <c r="I339">
        <v>0</v>
      </c>
      <c r="J339">
        <v>0</v>
      </c>
      <c r="K339">
        <v>0</v>
      </c>
      <c r="L339" s="92">
        <v>0</v>
      </c>
      <c r="M339" s="267" t="s">
        <v>482</v>
      </c>
      <c r="N339" s="268"/>
      <c r="O339" s="268"/>
      <c r="P339" s="268"/>
      <c r="Q339" s="268"/>
      <c r="R339" s="268"/>
      <c r="S339" s="268"/>
      <c r="T339" s="268"/>
      <c r="U339" s="268"/>
      <c r="V339" s="269"/>
      <c r="W339" s="198" t="s">
        <v>289</v>
      </c>
      <c r="X339" s="93">
        <v>42261</v>
      </c>
      <c r="Y339" t="s">
        <v>138</v>
      </c>
    </row>
    <row r="340" spans="1:25" ht="36" customHeight="1" x14ac:dyDescent="0.3">
      <c r="A340" s="142" t="s">
        <v>156</v>
      </c>
      <c r="B340" s="143" t="s">
        <v>483</v>
      </c>
      <c r="C340" s="256" t="s">
        <v>183</v>
      </c>
      <c r="D340" s="149">
        <v>42199</v>
      </c>
      <c r="E340" s="149">
        <v>42278</v>
      </c>
      <c r="G340">
        <v>7</v>
      </c>
      <c r="H340">
        <v>2</v>
      </c>
      <c r="I340">
        <v>0</v>
      </c>
      <c r="J340">
        <v>0</v>
      </c>
      <c r="K340">
        <v>0</v>
      </c>
      <c r="L340" s="92">
        <v>0</v>
      </c>
      <c r="M340" s="267" t="s">
        <v>482</v>
      </c>
      <c r="N340" s="268"/>
      <c r="O340" s="268"/>
      <c r="P340" s="268"/>
      <c r="Q340" s="268"/>
      <c r="R340" s="268"/>
      <c r="S340" s="268"/>
      <c r="T340" s="268"/>
      <c r="U340" s="268"/>
      <c r="V340" s="269"/>
      <c r="W340" s="198" t="s">
        <v>289</v>
      </c>
      <c r="X340" s="93">
        <v>42261</v>
      </c>
      <c r="Y340" t="s">
        <v>138</v>
      </c>
    </row>
    <row r="341" spans="1:25" s="80" customFormat="1" ht="36" customHeight="1" thickBot="1" x14ac:dyDescent="0.35">
      <c r="A341" s="250" t="s">
        <v>157</v>
      </c>
      <c r="B341" s="208">
        <v>42258</v>
      </c>
      <c r="C341" s="256" t="s">
        <v>183</v>
      </c>
      <c r="D341" s="149">
        <v>42251</v>
      </c>
      <c r="E341" s="149">
        <v>42256</v>
      </c>
      <c r="G341" s="80">
        <v>15</v>
      </c>
      <c r="H341" s="80">
        <v>2</v>
      </c>
      <c r="I341" s="80">
        <v>0</v>
      </c>
      <c r="J341" s="80">
        <v>0</v>
      </c>
      <c r="K341" s="80">
        <v>0</v>
      </c>
      <c r="L341" s="81">
        <v>1</v>
      </c>
      <c r="M341" s="286" t="s">
        <v>484</v>
      </c>
      <c r="N341" s="287"/>
      <c r="O341" s="287"/>
      <c r="P341" s="287"/>
      <c r="Q341" s="287"/>
      <c r="R341" s="287"/>
      <c r="S341" s="287"/>
      <c r="T341" s="287"/>
      <c r="U341" s="287"/>
      <c r="V341" s="288"/>
      <c r="W341" s="211" t="s">
        <v>289</v>
      </c>
      <c r="X341" s="82">
        <v>42261</v>
      </c>
      <c r="Y341" s="80" t="s">
        <v>138</v>
      </c>
    </row>
    <row r="342" spans="1:25" ht="36" customHeight="1" x14ac:dyDescent="0.3">
      <c r="A342" s="142" t="s">
        <v>379</v>
      </c>
      <c r="B342" s="143">
        <v>42265</v>
      </c>
      <c r="C342" s="256">
        <v>236662</v>
      </c>
      <c r="D342" s="149">
        <v>42234</v>
      </c>
      <c r="E342" s="149">
        <v>42282</v>
      </c>
      <c r="G342">
        <v>8</v>
      </c>
      <c r="H342">
        <v>7</v>
      </c>
      <c r="I342">
        <v>0</v>
      </c>
      <c r="J342">
        <v>0</v>
      </c>
      <c r="K342">
        <v>0</v>
      </c>
      <c r="L342" s="92">
        <v>0</v>
      </c>
      <c r="M342" s="267" t="s">
        <v>485</v>
      </c>
      <c r="N342" s="268"/>
      <c r="O342" s="268"/>
      <c r="P342" s="268"/>
      <c r="Q342" s="268"/>
      <c r="R342" s="268"/>
      <c r="S342" s="268"/>
      <c r="T342" s="268"/>
      <c r="U342" s="268"/>
      <c r="V342" s="269"/>
      <c r="W342" s="204" t="s">
        <v>289</v>
      </c>
      <c r="X342" s="93">
        <v>42265</v>
      </c>
      <c r="Y342" t="s">
        <v>486</v>
      </c>
    </row>
    <row r="343" spans="1:25" ht="36" customHeight="1" x14ac:dyDescent="0.3">
      <c r="A343" s="142" t="s">
        <v>379</v>
      </c>
      <c r="B343" s="143">
        <v>42265</v>
      </c>
      <c r="C343" s="256">
        <v>2789</v>
      </c>
      <c r="D343" s="149">
        <v>42229</v>
      </c>
      <c r="E343" s="149">
        <v>42278</v>
      </c>
      <c r="G343">
        <v>8</v>
      </c>
      <c r="H343">
        <v>7</v>
      </c>
      <c r="I343">
        <v>0</v>
      </c>
      <c r="J343">
        <v>0</v>
      </c>
      <c r="K343">
        <v>0</v>
      </c>
      <c r="L343" s="92">
        <v>0</v>
      </c>
      <c r="M343" s="267" t="s">
        <v>485</v>
      </c>
      <c r="N343" s="268"/>
      <c r="O343" s="268"/>
      <c r="P343" s="268"/>
      <c r="Q343" s="268"/>
      <c r="R343" s="268"/>
      <c r="S343" s="268"/>
      <c r="T343" s="268"/>
      <c r="U343" s="268"/>
      <c r="V343" s="269"/>
      <c r="W343" s="198" t="s">
        <v>289</v>
      </c>
      <c r="X343" s="93">
        <v>42265</v>
      </c>
      <c r="Y343" t="s">
        <v>486</v>
      </c>
    </row>
    <row r="344" spans="1:25" ht="36" customHeight="1" x14ac:dyDescent="0.3">
      <c r="A344" s="142" t="s">
        <v>223</v>
      </c>
      <c r="B344" s="143">
        <v>42264</v>
      </c>
      <c r="C344" s="256">
        <v>67077</v>
      </c>
      <c r="D344" s="149">
        <v>42229</v>
      </c>
      <c r="E344" s="149" t="s">
        <v>196</v>
      </c>
      <c r="G344">
        <v>16</v>
      </c>
      <c r="H344">
        <v>0</v>
      </c>
      <c r="I344">
        <v>0</v>
      </c>
      <c r="J344">
        <v>0</v>
      </c>
      <c r="K344">
        <v>0</v>
      </c>
      <c r="L344" s="92">
        <v>1</v>
      </c>
      <c r="M344" s="267" t="s">
        <v>487</v>
      </c>
      <c r="N344" s="268"/>
      <c r="O344" s="268"/>
      <c r="P344" s="268"/>
      <c r="Q344" s="268"/>
      <c r="R344" s="268"/>
      <c r="S344" s="268"/>
      <c r="T344" s="268"/>
      <c r="U344" s="268"/>
      <c r="V344" s="269"/>
      <c r="W344" s="198" t="s">
        <v>289</v>
      </c>
      <c r="X344" s="93">
        <v>42265</v>
      </c>
      <c r="Y344" t="s">
        <v>486</v>
      </c>
    </row>
    <row r="345" spans="1:25" ht="36" customHeight="1" x14ac:dyDescent="0.3">
      <c r="A345" s="142" t="s">
        <v>156</v>
      </c>
      <c r="B345" s="143">
        <v>42265</v>
      </c>
      <c r="C345" s="256">
        <v>89691</v>
      </c>
      <c r="D345" s="149">
        <v>42121</v>
      </c>
      <c r="E345" s="149" t="s">
        <v>196</v>
      </c>
      <c r="G345">
        <v>13</v>
      </c>
      <c r="H345">
        <v>1</v>
      </c>
      <c r="I345">
        <v>0</v>
      </c>
      <c r="J345">
        <v>0</v>
      </c>
      <c r="K345">
        <v>0</v>
      </c>
      <c r="L345" s="92">
        <v>1</v>
      </c>
      <c r="M345" s="267" t="s">
        <v>488</v>
      </c>
      <c r="N345" s="268"/>
      <c r="O345" s="268"/>
      <c r="P345" s="268"/>
      <c r="Q345" s="268"/>
      <c r="R345" s="268"/>
      <c r="S345" s="268"/>
      <c r="T345" s="268"/>
      <c r="U345" s="268"/>
      <c r="V345" s="269"/>
      <c r="W345" s="198" t="s">
        <v>289</v>
      </c>
      <c r="X345" s="93">
        <v>42265</v>
      </c>
      <c r="Y345" t="s">
        <v>486</v>
      </c>
    </row>
    <row r="346" spans="1:25" ht="36" customHeight="1" x14ac:dyDescent="0.3">
      <c r="A346" s="142" t="s">
        <v>172</v>
      </c>
      <c r="B346" s="143">
        <v>42264</v>
      </c>
      <c r="C346" s="256">
        <v>60869</v>
      </c>
      <c r="D346" s="149">
        <v>42230</v>
      </c>
      <c r="E346" s="149">
        <v>42279</v>
      </c>
      <c r="G346">
        <v>28</v>
      </c>
      <c r="H346">
        <v>1</v>
      </c>
      <c r="I346">
        <v>0</v>
      </c>
      <c r="J346">
        <v>0</v>
      </c>
      <c r="K346">
        <v>0</v>
      </c>
      <c r="L346" s="92">
        <v>1</v>
      </c>
      <c r="M346" s="267" t="s">
        <v>489</v>
      </c>
      <c r="N346" s="268"/>
      <c r="O346" s="268"/>
      <c r="P346" s="268"/>
      <c r="Q346" s="268"/>
      <c r="R346" s="268"/>
      <c r="S346" s="268"/>
      <c r="T346" s="268"/>
      <c r="U346" s="268"/>
      <c r="V346" s="269"/>
      <c r="W346" s="198" t="s">
        <v>289</v>
      </c>
      <c r="X346" s="93">
        <v>42265</v>
      </c>
      <c r="Y346" t="s">
        <v>486</v>
      </c>
    </row>
    <row r="347" spans="1:25" ht="36" customHeight="1" x14ac:dyDescent="0.3">
      <c r="A347" s="142" t="s">
        <v>472</v>
      </c>
      <c r="B347" s="143">
        <v>42263</v>
      </c>
      <c r="C347" s="256">
        <v>148201</v>
      </c>
      <c r="D347" s="149">
        <v>42060</v>
      </c>
      <c r="E347" s="149">
        <v>42282</v>
      </c>
      <c r="G347">
        <v>16</v>
      </c>
      <c r="H347">
        <v>0</v>
      </c>
      <c r="I347">
        <v>0</v>
      </c>
      <c r="J347">
        <v>0</v>
      </c>
      <c r="K347">
        <v>0</v>
      </c>
      <c r="L347" s="92">
        <v>1</v>
      </c>
      <c r="M347" s="267" t="s">
        <v>490</v>
      </c>
      <c r="N347" s="268"/>
      <c r="O347" s="268"/>
      <c r="P347" s="268"/>
      <c r="Q347" s="268"/>
      <c r="R347" s="268"/>
      <c r="S347" s="268"/>
      <c r="T347" s="268"/>
      <c r="U347" s="268"/>
      <c r="V347" s="269"/>
      <c r="W347" s="198" t="s">
        <v>289</v>
      </c>
      <c r="X347" s="93">
        <v>42265</v>
      </c>
      <c r="Y347" t="s">
        <v>486</v>
      </c>
    </row>
    <row r="348" spans="1:25" ht="36" customHeight="1" x14ac:dyDescent="0.3">
      <c r="A348" s="142" t="s">
        <v>210</v>
      </c>
      <c r="B348" s="143">
        <v>42263</v>
      </c>
      <c r="C348" s="256">
        <v>173663</v>
      </c>
      <c r="D348" s="149">
        <v>42039</v>
      </c>
      <c r="E348" s="149">
        <v>42283</v>
      </c>
      <c r="G348">
        <v>7</v>
      </c>
      <c r="H348">
        <v>9</v>
      </c>
      <c r="I348">
        <v>0</v>
      </c>
      <c r="J348">
        <v>0</v>
      </c>
      <c r="K348">
        <v>0</v>
      </c>
      <c r="L348" s="92">
        <v>1</v>
      </c>
      <c r="M348" s="267" t="s">
        <v>491</v>
      </c>
      <c r="N348" s="268"/>
      <c r="O348" s="268"/>
      <c r="P348" s="268"/>
      <c r="Q348" s="268"/>
      <c r="R348" s="268"/>
      <c r="S348" s="268"/>
      <c r="T348" s="268"/>
      <c r="U348" s="268"/>
      <c r="V348" s="269"/>
      <c r="W348" s="198" t="s">
        <v>289</v>
      </c>
      <c r="X348" s="93">
        <v>42265</v>
      </c>
      <c r="Y348" t="s">
        <v>486</v>
      </c>
    </row>
    <row r="349" spans="1:25" ht="36" customHeight="1" x14ac:dyDescent="0.3">
      <c r="A349" s="142" t="s">
        <v>223</v>
      </c>
      <c r="B349" s="143">
        <v>42263</v>
      </c>
      <c r="C349" s="256">
        <v>127158</v>
      </c>
      <c r="D349" s="149">
        <v>42120</v>
      </c>
      <c r="E349" s="149">
        <v>42283</v>
      </c>
      <c r="G349">
        <v>12</v>
      </c>
      <c r="H349">
        <v>0</v>
      </c>
      <c r="I349">
        <v>0</v>
      </c>
      <c r="J349">
        <v>0</v>
      </c>
      <c r="K349">
        <v>0</v>
      </c>
      <c r="L349" s="92">
        <v>1</v>
      </c>
      <c r="M349" s="267" t="s">
        <v>492</v>
      </c>
      <c r="N349" s="268"/>
      <c r="O349" s="268"/>
      <c r="P349" s="268"/>
      <c r="Q349" s="268"/>
      <c r="R349" s="268"/>
      <c r="S349" s="268"/>
      <c r="T349" s="268"/>
      <c r="U349" s="268"/>
      <c r="V349" s="269"/>
      <c r="W349" s="198" t="s">
        <v>289</v>
      </c>
      <c r="X349" s="93">
        <v>42265</v>
      </c>
      <c r="Y349" t="s">
        <v>486</v>
      </c>
    </row>
    <row r="350" spans="1:25" ht="36" customHeight="1" x14ac:dyDescent="0.3">
      <c r="A350" s="142" t="s">
        <v>156</v>
      </c>
      <c r="B350" s="143">
        <v>42263</v>
      </c>
      <c r="C350" s="256">
        <v>5723</v>
      </c>
      <c r="D350" s="149">
        <v>42164</v>
      </c>
      <c r="E350" s="149">
        <v>42293</v>
      </c>
      <c r="G350">
        <v>12</v>
      </c>
      <c r="H350">
        <v>0</v>
      </c>
      <c r="I350">
        <v>0</v>
      </c>
      <c r="J350">
        <v>0</v>
      </c>
      <c r="K350">
        <v>0</v>
      </c>
      <c r="L350" s="92">
        <v>1</v>
      </c>
      <c r="M350" s="267" t="s">
        <v>493</v>
      </c>
      <c r="N350" s="268"/>
      <c r="O350" s="268"/>
      <c r="P350" s="268"/>
      <c r="Q350" s="268"/>
      <c r="R350" s="268"/>
      <c r="S350" s="268"/>
      <c r="T350" s="268"/>
      <c r="U350" s="268"/>
      <c r="V350" s="269"/>
      <c r="W350" s="198" t="s">
        <v>289</v>
      </c>
      <c r="X350" s="93">
        <v>42265</v>
      </c>
      <c r="Y350" t="s">
        <v>486</v>
      </c>
    </row>
    <row r="351" spans="1:25" ht="36" customHeight="1" x14ac:dyDescent="0.3">
      <c r="A351" s="142" t="s">
        <v>157</v>
      </c>
      <c r="B351" s="143">
        <v>42262</v>
      </c>
      <c r="C351" s="256">
        <v>54526</v>
      </c>
      <c r="D351" s="149">
        <v>42228</v>
      </c>
      <c r="E351" s="149">
        <v>42291</v>
      </c>
      <c r="G351">
        <v>11</v>
      </c>
      <c r="H351">
        <v>0</v>
      </c>
      <c r="I351">
        <v>0</v>
      </c>
      <c r="J351">
        <v>0</v>
      </c>
      <c r="K351">
        <v>0</v>
      </c>
      <c r="L351" s="92">
        <v>1</v>
      </c>
      <c r="M351" s="267" t="s">
        <v>494</v>
      </c>
      <c r="N351" s="268"/>
      <c r="O351" s="268"/>
      <c r="P351" s="268"/>
      <c r="Q351" s="268"/>
      <c r="R351" s="268"/>
      <c r="S351" s="268"/>
      <c r="T351" s="268"/>
      <c r="U351" s="268"/>
      <c r="V351" s="269"/>
      <c r="W351" s="198" t="s">
        <v>289</v>
      </c>
      <c r="X351" s="93">
        <v>42265</v>
      </c>
      <c r="Y351" t="s">
        <v>486</v>
      </c>
    </row>
    <row r="352" spans="1:25" ht="36" customHeight="1" x14ac:dyDescent="0.3">
      <c r="A352" s="142" t="s">
        <v>172</v>
      </c>
      <c r="B352" s="143">
        <v>42265</v>
      </c>
      <c r="C352" s="256">
        <v>51554</v>
      </c>
      <c r="D352" s="149">
        <v>42115</v>
      </c>
      <c r="E352" s="149" t="s">
        <v>177</v>
      </c>
      <c r="G352">
        <v>9</v>
      </c>
      <c r="H352">
        <v>1</v>
      </c>
      <c r="I352">
        <v>0</v>
      </c>
      <c r="J352">
        <v>0</v>
      </c>
      <c r="K352">
        <v>0</v>
      </c>
      <c r="L352" s="92">
        <v>1</v>
      </c>
      <c r="M352" s="267" t="s">
        <v>495</v>
      </c>
      <c r="N352" s="268"/>
      <c r="O352" s="268"/>
      <c r="P352" s="268"/>
      <c r="Q352" s="268"/>
      <c r="R352" s="268"/>
      <c r="S352" s="268"/>
      <c r="T352" s="268"/>
      <c r="U352" s="268"/>
      <c r="V352" s="269"/>
      <c r="W352" s="198" t="s">
        <v>289</v>
      </c>
      <c r="X352" s="93">
        <v>42265</v>
      </c>
      <c r="Y352" t="s">
        <v>486</v>
      </c>
    </row>
    <row r="353" spans="1:25" ht="36" customHeight="1" x14ac:dyDescent="0.3">
      <c r="A353" s="142" t="s">
        <v>412</v>
      </c>
      <c r="B353" s="143">
        <v>42265</v>
      </c>
      <c r="C353" s="256">
        <v>60826</v>
      </c>
      <c r="D353" s="149">
        <v>42234</v>
      </c>
      <c r="E353" s="149" t="s">
        <v>177</v>
      </c>
      <c r="G353">
        <v>9</v>
      </c>
      <c r="H353">
        <v>1</v>
      </c>
      <c r="I353">
        <v>0</v>
      </c>
      <c r="J353">
        <v>0</v>
      </c>
      <c r="K353">
        <v>0</v>
      </c>
      <c r="L353" s="92">
        <v>1</v>
      </c>
      <c r="M353" s="267" t="s">
        <v>496</v>
      </c>
      <c r="N353" s="268"/>
      <c r="O353" s="268"/>
      <c r="P353" s="268"/>
      <c r="Q353" s="268"/>
      <c r="R353" s="268"/>
      <c r="S353" s="268"/>
      <c r="T353" s="268"/>
      <c r="U353" s="268"/>
      <c r="V353" s="269"/>
      <c r="W353" s="198" t="s">
        <v>289</v>
      </c>
      <c r="X353" s="93">
        <v>42265</v>
      </c>
      <c r="Y353" t="s">
        <v>486</v>
      </c>
    </row>
    <row r="354" spans="1:25" s="80" customFormat="1" ht="36" customHeight="1" thickBot="1" x14ac:dyDescent="0.35">
      <c r="A354" s="250" t="s">
        <v>412</v>
      </c>
      <c r="B354" s="208">
        <v>42265</v>
      </c>
      <c r="C354" s="80" t="s">
        <v>469</v>
      </c>
      <c r="D354" s="149">
        <v>42248</v>
      </c>
      <c r="E354" s="149">
        <v>42289</v>
      </c>
      <c r="G354" s="80">
        <v>9</v>
      </c>
      <c r="H354" s="80">
        <v>1</v>
      </c>
      <c r="I354" s="80">
        <v>0</v>
      </c>
      <c r="J354" s="80">
        <v>0</v>
      </c>
      <c r="K354" s="80">
        <v>0</v>
      </c>
      <c r="L354" s="81">
        <v>1</v>
      </c>
      <c r="M354" s="286" t="s">
        <v>497</v>
      </c>
      <c r="N354" s="287"/>
      <c r="O354" s="287"/>
      <c r="P354" s="287"/>
      <c r="Q354" s="287"/>
      <c r="R354" s="287"/>
      <c r="S354" s="287"/>
      <c r="T354" s="287"/>
      <c r="U354" s="287"/>
      <c r="V354" s="288"/>
      <c r="W354" s="211" t="s">
        <v>289</v>
      </c>
      <c r="X354" s="82">
        <v>42265</v>
      </c>
      <c r="Y354" s="80" t="s">
        <v>486</v>
      </c>
    </row>
    <row r="355" spans="1:25" ht="36" customHeight="1" x14ac:dyDescent="0.3">
      <c r="A355" s="142" t="s">
        <v>223</v>
      </c>
      <c r="B355" s="143">
        <v>42277</v>
      </c>
      <c r="C355" s="256">
        <v>82931</v>
      </c>
      <c r="D355" s="149">
        <v>42275</v>
      </c>
      <c r="E355" s="149">
        <v>42286</v>
      </c>
      <c r="G355">
        <v>40</v>
      </c>
      <c r="H355">
        <v>0</v>
      </c>
      <c r="I355">
        <v>0</v>
      </c>
      <c r="J355">
        <v>0</v>
      </c>
      <c r="K355">
        <v>0</v>
      </c>
      <c r="L355" s="92">
        <v>1</v>
      </c>
      <c r="M355" s="267" t="s">
        <v>9</v>
      </c>
      <c r="N355" s="268"/>
      <c r="O355" s="268"/>
      <c r="P355" s="268"/>
      <c r="Q355" s="268"/>
      <c r="R355" s="268"/>
      <c r="S355" s="268"/>
      <c r="T355" s="268"/>
      <c r="U355" s="268"/>
      <c r="V355" s="269"/>
      <c r="W355" s="204" t="s">
        <v>289</v>
      </c>
      <c r="X355" s="93">
        <v>42277</v>
      </c>
      <c r="Y355" t="s">
        <v>132</v>
      </c>
    </row>
    <row r="356" spans="1:25" ht="36" customHeight="1" x14ac:dyDescent="0.3">
      <c r="A356" s="142" t="s">
        <v>223</v>
      </c>
      <c r="B356" s="143">
        <v>42277</v>
      </c>
      <c r="C356" s="256">
        <v>72515</v>
      </c>
      <c r="D356" s="149">
        <v>42243</v>
      </c>
      <c r="E356" s="149">
        <v>42285</v>
      </c>
      <c r="G356">
        <v>23</v>
      </c>
      <c r="H356">
        <v>0</v>
      </c>
      <c r="I356">
        <v>0</v>
      </c>
      <c r="J356">
        <v>0</v>
      </c>
      <c r="K356">
        <v>0</v>
      </c>
      <c r="L356" s="92">
        <v>1</v>
      </c>
      <c r="M356" s="267" t="s">
        <v>498</v>
      </c>
      <c r="N356" s="268"/>
      <c r="O356" s="268"/>
      <c r="P356" s="268"/>
      <c r="Q356" s="268"/>
      <c r="R356" s="268"/>
      <c r="S356" s="268"/>
      <c r="T356" s="268"/>
      <c r="U356" s="268"/>
      <c r="V356" s="269"/>
      <c r="W356" s="198" t="s">
        <v>289</v>
      </c>
      <c r="X356" s="93">
        <v>42277</v>
      </c>
      <c r="Y356" t="s">
        <v>132</v>
      </c>
    </row>
    <row r="357" spans="1:25" ht="36" customHeight="1" x14ac:dyDescent="0.3">
      <c r="A357" s="142" t="s">
        <v>157</v>
      </c>
      <c r="B357" s="143">
        <v>42277</v>
      </c>
      <c r="C357" s="256">
        <v>10605</v>
      </c>
      <c r="D357" s="149">
        <v>42250</v>
      </c>
      <c r="E357" s="149" t="s">
        <v>177</v>
      </c>
      <c r="G357">
        <v>17</v>
      </c>
      <c r="H357">
        <v>0</v>
      </c>
      <c r="I357">
        <v>0</v>
      </c>
      <c r="J357">
        <v>0</v>
      </c>
      <c r="K357">
        <v>0</v>
      </c>
      <c r="L357" s="92">
        <v>1</v>
      </c>
      <c r="M357" s="267" t="s">
        <v>9</v>
      </c>
      <c r="N357" s="268"/>
      <c r="O357" s="268"/>
      <c r="P357" s="268"/>
      <c r="Q357" s="268"/>
      <c r="R357" s="268"/>
      <c r="S357" s="268"/>
      <c r="T357" s="268"/>
      <c r="U357" s="268"/>
      <c r="V357" s="269"/>
      <c r="W357" s="198" t="s">
        <v>289</v>
      </c>
      <c r="X357" s="93">
        <v>42277</v>
      </c>
      <c r="Y357" t="s">
        <v>132</v>
      </c>
    </row>
    <row r="358" spans="1:25" ht="36" customHeight="1" x14ac:dyDescent="0.3">
      <c r="A358" s="142" t="s">
        <v>157</v>
      </c>
      <c r="B358" s="143">
        <v>42277</v>
      </c>
      <c r="C358" s="256">
        <v>108689</v>
      </c>
      <c r="D358" s="149">
        <v>42252</v>
      </c>
      <c r="E358" s="149">
        <v>42290</v>
      </c>
      <c r="G358">
        <v>18</v>
      </c>
      <c r="H358">
        <v>0</v>
      </c>
      <c r="I358">
        <v>0</v>
      </c>
      <c r="J358">
        <v>0</v>
      </c>
      <c r="K358">
        <v>0</v>
      </c>
      <c r="L358" s="92">
        <v>1</v>
      </c>
      <c r="M358" s="267" t="s">
        <v>9</v>
      </c>
      <c r="N358" s="268"/>
      <c r="O358" s="268"/>
      <c r="P358" s="268"/>
      <c r="Q358" s="268"/>
      <c r="R358" s="268"/>
      <c r="S358" s="268"/>
      <c r="T358" s="268"/>
      <c r="U358" s="268"/>
      <c r="V358" s="269"/>
      <c r="W358" s="198" t="s">
        <v>289</v>
      </c>
      <c r="X358" s="93">
        <v>42277</v>
      </c>
      <c r="Y358" t="s">
        <v>132</v>
      </c>
    </row>
    <row r="359" spans="1:25" ht="36" customHeight="1" x14ac:dyDescent="0.3">
      <c r="A359" s="142" t="s">
        <v>172</v>
      </c>
      <c r="B359" s="143">
        <v>42277</v>
      </c>
      <c r="C359" s="256">
        <v>13695</v>
      </c>
      <c r="D359" s="149">
        <v>42278</v>
      </c>
      <c r="E359" s="149">
        <v>42292</v>
      </c>
      <c r="G359">
        <v>15</v>
      </c>
      <c r="H359">
        <v>2</v>
      </c>
      <c r="I359">
        <v>0</v>
      </c>
      <c r="J359">
        <v>0</v>
      </c>
      <c r="K359">
        <v>2</v>
      </c>
      <c r="L359" s="92">
        <v>0.88235294117647056</v>
      </c>
      <c r="M359" s="267" t="s">
        <v>499</v>
      </c>
      <c r="N359" s="268"/>
      <c r="O359" s="268"/>
      <c r="P359" s="268"/>
      <c r="Q359" s="268"/>
      <c r="R359" s="268"/>
      <c r="S359" s="268"/>
      <c r="T359" s="268"/>
      <c r="U359" s="268"/>
      <c r="V359" s="269"/>
      <c r="W359" s="198" t="s">
        <v>289</v>
      </c>
      <c r="X359" s="93">
        <v>42277</v>
      </c>
      <c r="Y359" t="s">
        <v>132</v>
      </c>
    </row>
    <row r="360" spans="1:25" ht="36" customHeight="1" x14ac:dyDescent="0.3">
      <c r="A360" s="142" t="s">
        <v>172</v>
      </c>
      <c r="B360" s="143">
        <v>42277</v>
      </c>
      <c r="C360" s="256">
        <v>55302</v>
      </c>
      <c r="D360" s="149">
        <v>42237</v>
      </c>
      <c r="E360" s="149" t="s">
        <v>177</v>
      </c>
      <c r="G360">
        <v>31</v>
      </c>
      <c r="H360">
        <v>0</v>
      </c>
      <c r="I360">
        <v>0</v>
      </c>
      <c r="J360">
        <v>0</v>
      </c>
      <c r="K360">
        <v>0</v>
      </c>
      <c r="L360" s="92">
        <v>1</v>
      </c>
      <c r="M360" s="267" t="s">
        <v>500</v>
      </c>
      <c r="N360" s="268"/>
      <c r="O360" s="268"/>
      <c r="P360" s="268"/>
      <c r="Q360" s="268"/>
      <c r="R360" s="268"/>
      <c r="S360" s="268"/>
      <c r="T360" s="268"/>
      <c r="U360" s="268"/>
      <c r="V360" s="269"/>
      <c r="W360" s="198" t="s">
        <v>289</v>
      </c>
      <c r="X360" s="93">
        <v>42277</v>
      </c>
      <c r="Y360" t="s">
        <v>132</v>
      </c>
    </row>
    <row r="361" spans="1:25" ht="36" customHeight="1" x14ac:dyDescent="0.3">
      <c r="A361" s="142" t="s">
        <v>156</v>
      </c>
      <c r="B361" s="143">
        <v>42277</v>
      </c>
      <c r="C361" s="256">
        <v>77088</v>
      </c>
      <c r="D361" s="149">
        <v>42282</v>
      </c>
      <c r="E361" s="149" t="s">
        <v>177</v>
      </c>
      <c r="G361">
        <v>31</v>
      </c>
      <c r="H361">
        <v>0</v>
      </c>
      <c r="I361">
        <v>0</v>
      </c>
      <c r="J361">
        <v>0</v>
      </c>
      <c r="K361">
        <v>0</v>
      </c>
      <c r="L361" s="92">
        <v>1</v>
      </c>
      <c r="M361" s="267" t="s">
        <v>501</v>
      </c>
      <c r="N361" s="268"/>
      <c r="O361" s="268"/>
      <c r="P361" s="268"/>
      <c r="Q361" s="268"/>
      <c r="R361" s="268"/>
      <c r="S361" s="268"/>
      <c r="T361" s="268"/>
      <c r="U361" s="268"/>
      <c r="V361" s="269"/>
      <c r="W361" s="198" t="s">
        <v>289</v>
      </c>
      <c r="X361" s="93">
        <v>42277</v>
      </c>
      <c r="Y361" t="s">
        <v>132</v>
      </c>
    </row>
    <row r="362" spans="1:25" ht="36" customHeight="1" x14ac:dyDescent="0.3">
      <c r="A362" s="142" t="s">
        <v>156</v>
      </c>
      <c r="B362" s="143">
        <v>42277</v>
      </c>
      <c r="C362" s="256">
        <v>106551</v>
      </c>
      <c r="D362" s="149">
        <v>42241</v>
      </c>
      <c r="E362" s="149" t="s">
        <v>177</v>
      </c>
      <c r="G362">
        <v>20</v>
      </c>
      <c r="H362">
        <v>1</v>
      </c>
      <c r="I362">
        <v>0</v>
      </c>
      <c r="J362">
        <v>0</v>
      </c>
      <c r="K362">
        <v>1</v>
      </c>
      <c r="L362" s="92">
        <v>0.95238095238095233</v>
      </c>
      <c r="M362" s="267" t="s">
        <v>502</v>
      </c>
      <c r="N362" s="268"/>
      <c r="O362" s="268"/>
      <c r="P362" s="268"/>
      <c r="Q362" s="268"/>
      <c r="R362" s="268"/>
      <c r="S362" s="268"/>
      <c r="T362" s="268"/>
      <c r="U362" s="268"/>
      <c r="V362" s="269"/>
      <c r="W362" s="198" t="s">
        <v>289</v>
      </c>
      <c r="X362" s="93">
        <v>42277</v>
      </c>
      <c r="Y362" t="s">
        <v>132</v>
      </c>
    </row>
    <row r="363" spans="1:25" ht="36" customHeight="1" x14ac:dyDescent="0.3">
      <c r="A363" s="142" t="s">
        <v>210</v>
      </c>
      <c r="B363" s="143">
        <v>42279</v>
      </c>
      <c r="C363" s="256">
        <v>144756</v>
      </c>
      <c r="D363" s="149">
        <v>42240</v>
      </c>
      <c r="E363" s="149">
        <v>42296</v>
      </c>
      <c r="G363">
        <v>11</v>
      </c>
      <c r="H363">
        <v>0</v>
      </c>
      <c r="I363">
        <v>0</v>
      </c>
      <c r="J363">
        <v>0</v>
      </c>
      <c r="K363">
        <v>0</v>
      </c>
      <c r="L363" s="92">
        <v>1</v>
      </c>
      <c r="M363" s="267" t="s">
        <v>503</v>
      </c>
      <c r="N363" s="268"/>
      <c r="O363" s="268"/>
      <c r="P363" s="268"/>
      <c r="Q363" s="268"/>
      <c r="R363" s="268"/>
      <c r="S363" s="268"/>
      <c r="T363" s="268"/>
      <c r="U363" s="268"/>
      <c r="V363" s="269"/>
      <c r="W363" s="198" t="s">
        <v>289</v>
      </c>
      <c r="X363" s="93">
        <v>42279</v>
      </c>
      <c r="Y363" t="s">
        <v>486</v>
      </c>
    </row>
    <row r="364" spans="1:25" ht="36" customHeight="1" x14ac:dyDescent="0.3">
      <c r="A364" s="142" t="s">
        <v>379</v>
      </c>
      <c r="B364" s="143">
        <v>42279</v>
      </c>
      <c r="C364" s="256">
        <v>276380</v>
      </c>
      <c r="D364" s="149">
        <v>42272</v>
      </c>
      <c r="E364" s="149">
        <v>42258</v>
      </c>
      <c r="G364">
        <v>11</v>
      </c>
      <c r="H364">
        <v>0</v>
      </c>
      <c r="I364">
        <v>0</v>
      </c>
      <c r="J364">
        <v>0</v>
      </c>
      <c r="K364">
        <v>0</v>
      </c>
      <c r="L364" s="92">
        <v>1</v>
      </c>
      <c r="M364" s="267" t="s">
        <v>504</v>
      </c>
      <c r="N364" s="268"/>
      <c r="O364" s="268"/>
      <c r="P364" s="268"/>
      <c r="Q364" s="268"/>
      <c r="R364" s="268"/>
      <c r="S364" s="268"/>
      <c r="T364" s="268"/>
      <c r="U364" s="268"/>
      <c r="V364" s="269"/>
      <c r="W364" s="198" t="s">
        <v>289</v>
      </c>
      <c r="X364" s="93">
        <v>42279</v>
      </c>
      <c r="Y364" t="s">
        <v>486</v>
      </c>
    </row>
    <row r="365" spans="1:25" ht="36" customHeight="1" x14ac:dyDescent="0.3">
      <c r="A365" s="142" t="s">
        <v>505</v>
      </c>
      <c r="B365" s="143">
        <v>42279</v>
      </c>
      <c r="C365" s="256">
        <v>132907</v>
      </c>
      <c r="D365" s="149">
        <v>42248</v>
      </c>
      <c r="E365" s="149">
        <v>42297</v>
      </c>
      <c r="G365">
        <v>11</v>
      </c>
      <c r="H365">
        <v>0</v>
      </c>
      <c r="I365">
        <v>0</v>
      </c>
      <c r="J365">
        <v>0</v>
      </c>
      <c r="K365">
        <v>0</v>
      </c>
      <c r="L365" s="92">
        <v>1</v>
      </c>
      <c r="M365" s="267" t="s">
        <v>506</v>
      </c>
      <c r="N365" s="268"/>
      <c r="O365" s="268"/>
      <c r="P365" s="268"/>
      <c r="Q365" s="268"/>
      <c r="R365" s="268"/>
      <c r="S365" s="268"/>
      <c r="T365" s="268"/>
      <c r="U365" s="268"/>
      <c r="V365" s="269"/>
      <c r="W365" s="198" t="s">
        <v>289</v>
      </c>
      <c r="X365" s="93">
        <v>42279</v>
      </c>
      <c r="Y365" t="s">
        <v>486</v>
      </c>
    </row>
    <row r="366" spans="1:25" ht="36" customHeight="1" x14ac:dyDescent="0.3">
      <c r="A366" s="142" t="s">
        <v>459</v>
      </c>
      <c r="B366" s="143">
        <v>42279</v>
      </c>
      <c r="C366" s="256">
        <v>150167</v>
      </c>
      <c r="D366" s="149">
        <v>42237</v>
      </c>
      <c r="E366" s="149">
        <v>42298</v>
      </c>
      <c r="G366">
        <v>11</v>
      </c>
      <c r="H366">
        <v>0</v>
      </c>
      <c r="I366">
        <v>0</v>
      </c>
      <c r="J366">
        <v>0</v>
      </c>
      <c r="K366">
        <v>0</v>
      </c>
      <c r="L366" s="92">
        <v>1</v>
      </c>
      <c r="M366" s="267" t="s">
        <v>507</v>
      </c>
      <c r="N366" s="268"/>
      <c r="O366" s="268"/>
      <c r="P366" s="268"/>
      <c r="Q366" s="268"/>
      <c r="R366" s="268"/>
      <c r="S366" s="268"/>
      <c r="T366" s="268"/>
      <c r="U366" s="268"/>
      <c r="V366" s="269"/>
      <c r="W366" s="198" t="s">
        <v>289</v>
      </c>
      <c r="X366" s="93">
        <v>42279</v>
      </c>
      <c r="Y366" t="s">
        <v>486</v>
      </c>
    </row>
    <row r="367" spans="1:25" ht="36" customHeight="1" x14ac:dyDescent="0.3">
      <c r="A367" s="142" t="s">
        <v>505</v>
      </c>
      <c r="B367" s="143">
        <v>42279</v>
      </c>
      <c r="C367" s="256">
        <v>180501</v>
      </c>
      <c r="D367" s="149">
        <v>42240</v>
      </c>
      <c r="E367" s="149" t="s">
        <v>177</v>
      </c>
      <c r="G367">
        <v>15</v>
      </c>
      <c r="H367">
        <v>0</v>
      </c>
      <c r="I367">
        <v>0</v>
      </c>
      <c r="J367">
        <v>0</v>
      </c>
      <c r="K367">
        <v>0</v>
      </c>
      <c r="L367" s="92">
        <v>1</v>
      </c>
      <c r="M367" s="267" t="s">
        <v>508</v>
      </c>
      <c r="N367" s="268"/>
      <c r="O367" s="268"/>
      <c r="P367" s="268"/>
      <c r="Q367" s="268"/>
      <c r="R367" s="268"/>
      <c r="S367" s="268"/>
      <c r="T367" s="268"/>
      <c r="U367" s="268"/>
      <c r="V367" s="269"/>
      <c r="W367" s="198" t="s">
        <v>289</v>
      </c>
      <c r="X367" s="93">
        <v>42279</v>
      </c>
      <c r="Y367" t="s">
        <v>486</v>
      </c>
    </row>
    <row r="368" spans="1:25" ht="36" customHeight="1" x14ac:dyDescent="0.3">
      <c r="A368" s="142" t="s">
        <v>412</v>
      </c>
      <c r="B368" s="143">
        <v>42279</v>
      </c>
      <c r="C368" s="256">
        <v>259098</v>
      </c>
      <c r="D368" s="149">
        <v>42255</v>
      </c>
      <c r="E368" s="149" t="s">
        <v>177</v>
      </c>
      <c r="G368">
        <v>15</v>
      </c>
      <c r="H368">
        <v>0</v>
      </c>
      <c r="I368">
        <v>0</v>
      </c>
      <c r="J368">
        <v>0</v>
      </c>
      <c r="K368">
        <v>0</v>
      </c>
      <c r="L368" s="92">
        <v>1</v>
      </c>
      <c r="M368" s="267" t="s">
        <v>509</v>
      </c>
      <c r="N368" s="268"/>
      <c r="O368" s="268"/>
      <c r="P368" s="268"/>
      <c r="Q368" s="268"/>
      <c r="R368" s="268"/>
      <c r="S368" s="268"/>
      <c r="T368" s="268"/>
      <c r="U368" s="268"/>
      <c r="V368" s="269"/>
      <c r="W368" s="198" t="s">
        <v>289</v>
      </c>
      <c r="X368" s="93">
        <v>42279</v>
      </c>
      <c r="Y368" t="s">
        <v>486</v>
      </c>
    </row>
    <row r="369" spans="1:25" s="80" customFormat="1" ht="36" customHeight="1" thickBot="1" x14ac:dyDescent="0.35">
      <c r="A369" s="250" t="s">
        <v>210</v>
      </c>
      <c r="B369" s="208">
        <v>42279</v>
      </c>
      <c r="C369" s="262">
        <v>10081</v>
      </c>
      <c r="D369" s="149">
        <v>42250</v>
      </c>
      <c r="E369" s="149" t="s">
        <v>177</v>
      </c>
      <c r="G369" s="80">
        <v>6</v>
      </c>
      <c r="H369" s="80">
        <v>11</v>
      </c>
      <c r="I369" s="80">
        <v>0</v>
      </c>
      <c r="J369" s="80">
        <v>0</v>
      </c>
      <c r="K369" s="80">
        <v>0</v>
      </c>
      <c r="L369" s="81">
        <v>1</v>
      </c>
      <c r="M369" s="286" t="s">
        <v>510</v>
      </c>
      <c r="N369" s="287"/>
      <c r="O369" s="287"/>
      <c r="P369" s="287"/>
      <c r="Q369" s="287"/>
      <c r="R369" s="287"/>
      <c r="S369" s="287"/>
      <c r="T369" s="287"/>
      <c r="U369" s="287"/>
      <c r="V369" s="288"/>
      <c r="W369" s="211" t="s">
        <v>289</v>
      </c>
      <c r="X369" s="82">
        <v>42279</v>
      </c>
      <c r="Y369" s="80" t="s">
        <v>486</v>
      </c>
    </row>
    <row r="370" spans="1:25" ht="36" customHeight="1" x14ac:dyDescent="0.3">
      <c r="A370" s="142" t="s">
        <v>511</v>
      </c>
      <c r="B370" s="143">
        <v>42286</v>
      </c>
      <c r="C370" s="256">
        <v>77741</v>
      </c>
      <c r="D370" s="149">
        <v>42233</v>
      </c>
      <c r="E370" s="149" t="s">
        <v>177</v>
      </c>
      <c r="G370">
        <v>7</v>
      </c>
      <c r="H370">
        <v>1</v>
      </c>
      <c r="I370">
        <v>0</v>
      </c>
      <c r="J370">
        <v>0</v>
      </c>
      <c r="K370">
        <v>0</v>
      </c>
      <c r="L370" s="92">
        <v>1</v>
      </c>
      <c r="M370" s="267" t="s">
        <v>512</v>
      </c>
      <c r="N370" s="268"/>
      <c r="O370" s="268"/>
      <c r="P370" s="268"/>
      <c r="Q370" s="268"/>
      <c r="R370" s="268"/>
      <c r="S370" s="268"/>
      <c r="T370" s="268"/>
      <c r="U370" s="268"/>
      <c r="V370" s="269"/>
      <c r="W370" s="204" t="s">
        <v>289</v>
      </c>
      <c r="X370" s="93">
        <v>42286</v>
      </c>
      <c r="Y370" t="s">
        <v>513</v>
      </c>
    </row>
    <row r="371" spans="1:25" ht="36" customHeight="1" x14ac:dyDescent="0.3">
      <c r="A371" s="142" t="s">
        <v>514</v>
      </c>
      <c r="B371" s="143">
        <v>42286</v>
      </c>
      <c r="C371" s="256">
        <v>224132</v>
      </c>
      <c r="D371" s="149">
        <v>42235</v>
      </c>
      <c r="E371" s="149" t="s">
        <v>177</v>
      </c>
      <c r="G371">
        <v>22</v>
      </c>
      <c r="H371">
        <v>0</v>
      </c>
      <c r="I371">
        <v>0</v>
      </c>
      <c r="J371">
        <v>0</v>
      </c>
      <c r="K371">
        <v>0</v>
      </c>
      <c r="L371" s="92">
        <v>1</v>
      </c>
      <c r="M371" s="267" t="s">
        <v>515</v>
      </c>
      <c r="N371" s="268"/>
      <c r="O371" s="268"/>
      <c r="P371" s="268"/>
      <c r="Q371" s="268"/>
      <c r="R371" s="268"/>
      <c r="S371" s="268"/>
      <c r="T371" s="268"/>
      <c r="U371" s="268"/>
      <c r="V371" s="269"/>
      <c r="W371" s="198" t="s">
        <v>289</v>
      </c>
      <c r="X371" s="93">
        <v>42286</v>
      </c>
      <c r="Y371" t="s">
        <v>513</v>
      </c>
    </row>
    <row r="372" spans="1:25" ht="36" customHeight="1" x14ac:dyDescent="0.3">
      <c r="A372" s="142" t="s">
        <v>516</v>
      </c>
      <c r="B372" s="143">
        <v>42286</v>
      </c>
      <c r="C372" s="256">
        <v>31227</v>
      </c>
      <c r="D372" s="149">
        <v>42270</v>
      </c>
      <c r="E372" s="149" t="s">
        <v>177</v>
      </c>
      <c r="G372">
        <v>8</v>
      </c>
      <c r="H372">
        <v>0</v>
      </c>
      <c r="I372">
        <v>0</v>
      </c>
      <c r="J372">
        <v>0</v>
      </c>
      <c r="K372">
        <v>0</v>
      </c>
      <c r="L372" s="92">
        <v>1</v>
      </c>
      <c r="M372" s="267" t="s">
        <v>517</v>
      </c>
      <c r="N372" s="268"/>
      <c r="O372" s="268"/>
      <c r="P372" s="268"/>
      <c r="Q372" s="268"/>
      <c r="R372" s="268"/>
      <c r="S372" s="268"/>
      <c r="T372" s="268"/>
      <c r="U372" s="268"/>
      <c r="V372" s="269"/>
      <c r="W372" s="198" t="s">
        <v>289</v>
      </c>
      <c r="X372" s="93">
        <v>42286</v>
      </c>
      <c r="Y372" t="s">
        <v>513</v>
      </c>
    </row>
    <row r="373" spans="1:25" ht="36" customHeight="1" x14ac:dyDescent="0.3">
      <c r="A373" s="142" t="s">
        <v>516</v>
      </c>
      <c r="B373" s="143">
        <v>42286</v>
      </c>
      <c r="C373" s="256">
        <v>143588</v>
      </c>
      <c r="D373" s="149">
        <v>42284</v>
      </c>
      <c r="E373" s="149" t="s">
        <v>177</v>
      </c>
      <c r="G373">
        <v>12</v>
      </c>
      <c r="H373">
        <v>1</v>
      </c>
      <c r="I373">
        <v>0</v>
      </c>
      <c r="J373">
        <v>0</v>
      </c>
      <c r="K373">
        <v>0</v>
      </c>
      <c r="L373" s="92">
        <v>1</v>
      </c>
      <c r="M373" s="267" t="s">
        <v>518</v>
      </c>
      <c r="N373" s="268"/>
      <c r="O373" s="268"/>
      <c r="P373" s="268"/>
      <c r="Q373" s="268"/>
      <c r="R373" s="268"/>
      <c r="S373" s="268"/>
      <c r="T373" s="268"/>
      <c r="U373" s="268"/>
      <c r="V373" s="269"/>
      <c r="W373" s="198" t="s">
        <v>289</v>
      </c>
      <c r="X373" s="93">
        <v>42286</v>
      </c>
      <c r="Y373" t="s">
        <v>513</v>
      </c>
    </row>
    <row r="374" spans="1:25" ht="36" customHeight="1" x14ac:dyDescent="0.3">
      <c r="A374" s="142" t="s">
        <v>519</v>
      </c>
      <c r="B374" s="143">
        <v>42286</v>
      </c>
      <c r="C374" s="256">
        <v>135455</v>
      </c>
      <c r="D374" s="149">
        <v>42284</v>
      </c>
      <c r="E374" s="149" t="s">
        <v>177</v>
      </c>
      <c r="G374">
        <v>21</v>
      </c>
      <c r="H374">
        <v>1</v>
      </c>
      <c r="I374">
        <v>0</v>
      </c>
      <c r="J374">
        <v>0</v>
      </c>
      <c r="K374">
        <v>0</v>
      </c>
      <c r="L374" s="92">
        <v>1</v>
      </c>
      <c r="M374" s="267" t="s">
        <v>521</v>
      </c>
      <c r="N374" s="268"/>
      <c r="O374" s="268"/>
      <c r="P374" s="268"/>
      <c r="Q374" s="268"/>
      <c r="R374" s="268"/>
      <c r="S374" s="268"/>
      <c r="T374" s="268"/>
      <c r="U374" s="268"/>
      <c r="V374" s="269"/>
      <c r="W374" s="198" t="s">
        <v>289</v>
      </c>
      <c r="X374" s="93">
        <v>42286</v>
      </c>
      <c r="Y374" t="s">
        <v>513</v>
      </c>
    </row>
    <row r="375" spans="1:25" ht="36" customHeight="1" x14ac:dyDescent="0.3">
      <c r="A375" s="142" t="s">
        <v>522</v>
      </c>
      <c r="B375" s="143">
        <v>42286</v>
      </c>
      <c r="C375" s="256">
        <v>41610</v>
      </c>
      <c r="D375" s="149">
        <v>42222</v>
      </c>
      <c r="E375" s="149" t="s">
        <v>177</v>
      </c>
      <c r="G375">
        <v>11</v>
      </c>
      <c r="H375">
        <v>0</v>
      </c>
      <c r="I375">
        <v>0</v>
      </c>
      <c r="J375">
        <v>0</v>
      </c>
      <c r="K375">
        <v>0</v>
      </c>
      <c r="L375" s="92">
        <v>1</v>
      </c>
      <c r="M375" s="267" t="s">
        <v>523</v>
      </c>
      <c r="N375" s="268"/>
      <c r="O375" s="268"/>
      <c r="P375" s="268"/>
      <c r="Q375" s="268"/>
      <c r="R375" s="268"/>
      <c r="S375" s="268"/>
      <c r="T375" s="268"/>
      <c r="U375" s="268"/>
      <c r="V375" s="269"/>
      <c r="W375" s="198" t="s">
        <v>289</v>
      </c>
      <c r="X375" s="93">
        <v>42286</v>
      </c>
      <c r="Y375" t="s">
        <v>513</v>
      </c>
    </row>
    <row r="376" spans="1:25" ht="36" customHeight="1" x14ac:dyDescent="0.3">
      <c r="A376" s="142" t="s">
        <v>524</v>
      </c>
      <c r="B376" s="143">
        <v>42286</v>
      </c>
      <c r="C376" s="256">
        <v>110071</v>
      </c>
      <c r="D376" s="149">
        <v>42143</v>
      </c>
      <c r="E376" s="149">
        <v>42280</v>
      </c>
      <c r="G376">
        <v>25</v>
      </c>
      <c r="H376">
        <v>1</v>
      </c>
      <c r="I376">
        <v>0</v>
      </c>
      <c r="J376">
        <v>0</v>
      </c>
      <c r="K376">
        <v>0</v>
      </c>
      <c r="L376" s="92">
        <v>1</v>
      </c>
      <c r="M376" s="267" t="s">
        <v>183</v>
      </c>
      <c r="N376" s="268"/>
      <c r="O376" s="268"/>
      <c r="P376" s="268"/>
      <c r="Q376" s="268"/>
      <c r="R376" s="268"/>
      <c r="S376" s="268"/>
      <c r="T376" s="268"/>
      <c r="U376" s="268"/>
      <c r="V376" s="269"/>
      <c r="W376" s="198" t="s">
        <v>289</v>
      </c>
      <c r="X376" s="93">
        <v>42286</v>
      </c>
      <c r="Y376" t="s">
        <v>513</v>
      </c>
    </row>
    <row r="377" spans="1:25" ht="36" customHeight="1" x14ac:dyDescent="0.3">
      <c r="A377" s="142" t="s">
        <v>525</v>
      </c>
      <c r="B377" s="143">
        <v>42286</v>
      </c>
      <c r="C377" s="256">
        <v>42434</v>
      </c>
      <c r="D377" s="149">
        <v>42269</v>
      </c>
      <c r="E377" s="149" t="s">
        <v>586</v>
      </c>
      <c r="G377">
        <v>15</v>
      </c>
      <c r="H377">
        <v>1</v>
      </c>
      <c r="I377">
        <v>0</v>
      </c>
      <c r="J377">
        <v>0</v>
      </c>
      <c r="K377">
        <v>0</v>
      </c>
      <c r="L377" s="92">
        <v>1</v>
      </c>
      <c r="M377" s="267" t="s">
        <v>526</v>
      </c>
      <c r="N377" s="268"/>
      <c r="O377" s="268"/>
      <c r="P377" s="268"/>
      <c r="Q377" s="268"/>
      <c r="R377" s="268"/>
      <c r="S377" s="268"/>
      <c r="T377" s="268"/>
      <c r="U377" s="268"/>
      <c r="V377" s="269"/>
      <c r="W377" s="198" t="s">
        <v>289</v>
      </c>
      <c r="X377" s="93">
        <v>42286</v>
      </c>
      <c r="Y377" t="s">
        <v>513</v>
      </c>
    </row>
    <row r="378" spans="1:25" ht="36" customHeight="1" x14ac:dyDescent="0.3">
      <c r="A378" s="142" t="s">
        <v>525</v>
      </c>
      <c r="B378" s="143" t="s">
        <v>527</v>
      </c>
      <c r="C378" s="256">
        <v>14909</v>
      </c>
      <c r="D378" s="149">
        <v>42282</v>
      </c>
      <c r="E378" s="265">
        <v>42298</v>
      </c>
      <c r="G378">
        <v>18</v>
      </c>
      <c r="H378">
        <v>1</v>
      </c>
      <c r="I378">
        <v>0</v>
      </c>
      <c r="J378">
        <v>0</v>
      </c>
      <c r="K378">
        <v>0</v>
      </c>
      <c r="L378" s="92">
        <v>1</v>
      </c>
      <c r="M378" s="267" t="s">
        <v>528</v>
      </c>
      <c r="N378" s="268"/>
      <c r="O378" s="268"/>
      <c r="P378" s="268"/>
      <c r="Q378" s="268"/>
      <c r="R378" s="268"/>
      <c r="S378" s="268"/>
      <c r="T378" s="268"/>
      <c r="U378" s="268"/>
      <c r="V378" s="269"/>
      <c r="W378" s="198" t="s">
        <v>289</v>
      </c>
      <c r="X378" s="93">
        <v>42286</v>
      </c>
      <c r="Y378" t="s">
        <v>513</v>
      </c>
    </row>
    <row r="379" spans="1:25" ht="36" customHeight="1" x14ac:dyDescent="0.3">
      <c r="A379" s="142" t="s">
        <v>529</v>
      </c>
      <c r="B379" s="143">
        <v>42286</v>
      </c>
      <c r="C379" s="256">
        <v>24094</v>
      </c>
      <c r="D379" s="149">
        <v>42282</v>
      </c>
      <c r="E379" s="265">
        <v>42298</v>
      </c>
      <c r="G379">
        <v>17</v>
      </c>
      <c r="H379">
        <v>1</v>
      </c>
      <c r="I379">
        <v>0</v>
      </c>
      <c r="J379">
        <v>0</v>
      </c>
      <c r="K379">
        <v>0</v>
      </c>
      <c r="L379" s="92">
        <v>1</v>
      </c>
      <c r="M379" s="267" t="s">
        <v>183</v>
      </c>
      <c r="N379" s="268"/>
      <c r="O379" s="268"/>
      <c r="P379" s="268"/>
      <c r="Q379" s="268"/>
      <c r="R379" s="268"/>
      <c r="S379" s="268"/>
      <c r="T379" s="268"/>
      <c r="U379" s="268"/>
      <c r="V379" s="269"/>
      <c r="W379" s="198" t="s">
        <v>289</v>
      </c>
      <c r="X379" s="93">
        <v>42286</v>
      </c>
      <c r="Y379" t="s">
        <v>513</v>
      </c>
    </row>
    <row r="380" spans="1:25" ht="36" customHeight="1" x14ac:dyDescent="0.3">
      <c r="A380" s="142" t="s">
        <v>529</v>
      </c>
      <c r="B380" s="143">
        <v>42286</v>
      </c>
      <c r="C380" s="256">
        <v>180759</v>
      </c>
      <c r="D380" s="149">
        <v>42282</v>
      </c>
      <c r="E380" s="265">
        <v>42298</v>
      </c>
      <c r="G380">
        <v>8</v>
      </c>
      <c r="H380">
        <v>1</v>
      </c>
      <c r="I380">
        <v>0</v>
      </c>
      <c r="J380">
        <v>0</v>
      </c>
      <c r="K380">
        <v>0</v>
      </c>
      <c r="L380" s="92">
        <v>1</v>
      </c>
      <c r="M380" s="267" t="s">
        <v>530</v>
      </c>
      <c r="N380" s="268"/>
      <c r="O380" s="268"/>
      <c r="P380" s="268"/>
      <c r="Q380" s="268"/>
      <c r="R380" s="268"/>
      <c r="S380" s="268"/>
      <c r="T380" s="268"/>
      <c r="U380" s="268"/>
      <c r="V380" s="269"/>
      <c r="W380" s="198" t="s">
        <v>289</v>
      </c>
      <c r="X380" s="93">
        <v>42286</v>
      </c>
      <c r="Y380" t="s">
        <v>513</v>
      </c>
    </row>
    <row r="381" spans="1:25" ht="36" customHeight="1" x14ac:dyDescent="0.3">
      <c r="A381" s="142" t="s">
        <v>531</v>
      </c>
      <c r="B381" s="143">
        <v>42286</v>
      </c>
      <c r="C381" s="256">
        <v>13081</v>
      </c>
      <c r="D381" s="149">
        <v>42283</v>
      </c>
      <c r="E381" s="265">
        <v>42298</v>
      </c>
      <c r="G381">
        <v>21</v>
      </c>
      <c r="H381">
        <v>1</v>
      </c>
      <c r="I381">
        <v>0</v>
      </c>
      <c r="J381">
        <v>0</v>
      </c>
      <c r="K381">
        <v>0</v>
      </c>
      <c r="L381" s="92">
        <v>1</v>
      </c>
      <c r="M381" s="267" t="s">
        <v>532</v>
      </c>
      <c r="N381" s="268"/>
      <c r="O381" s="268"/>
      <c r="P381" s="268"/>
      <c r="Q381" s="268"/>
      <c r="R381" s="268"/>
      <c r="S381" s="268"/>
      <c r="T381" s="268"/>
      <c r="U381" s="268"/>
      <c r="V381" s="269"/>
      <c r="W381" s="198" t="s">
        <v>289</v>
      </c>
      <c r="X381" s="93">
        <v>42286</v>
      </c>
      <c r="Y381" t="s">
        <v>513</v>
      </c>
    </row>
    <row r="382" spans="1:25" ht="36" customHeight="1" x14ac:dyDescent="0.3">
      <c r="A382" s="142" t="s">
        <v>531</v>
      </c>
      <c r="B382" s="143">
        <v>42286</v>
      </c>
      <c r="C382" s="256">
        <v>118108</v>
      </c>
      <c r="D382" s="149">
        <v>42283</v>
      </c>
      <c r="E382" s="265">
        <v>42298</v>
      </c>
      <c r="G382">
        <v>8</v>
      </c>
      <c r="H382">
        <v>1</v>
      </c>
      <c r="I382">
        <v>0</v>
      </c>
      <c r="J382">
        <v>0</v>
      </c>
      <c r="K382">
        <v>0</v>
      </c>
      <c r="L382" s="92">
        <v>1</v>
      </c>
      <c r="M382" s="267" t="s">
        <v>533</v>
      </c>
      <c r="N382" s="268"/>
      <c r="O382" s="268"/>
      <c r="P382" s="268"/>
      <c r="Q382" s="268"/>
      <c r="R382" s="268"/>
      <c r="S382" s="268"/>
      <c r="T382" s="268"/>
      <c r="U382" s="268"/>
      <c r="V382" s="269"/>
      <c r="W382" s="198" t="s">
        <v>289</v>
      </c>
      <c r="X382" s="93">
        <v>42286</v>
      </c>
      <c r="Y382" t="s">
        <v>513</v>
      </c>
    </row>
    <row r="383" spans="1:25" ht="36" customHeight="1" x14ac:dyDescent="0.3">
      <c r="A383" s="142" t="s">
        <v>534</v>
      </c>
      <c r="B383" s="143">
        <v>42286</v>
      </c>
      <c r="C383" s="256">
        <v>24542</v>
      </c>
      <c r="D383" s="149">
        <v>42221</v>
      </c>
      <c r="E383" s="265">
        <v>42298</v>
      </c>
      <c r="G383">
        <v>7</v>
      </c>
      <c r="H383">
        <v>1</v>
      </c>
      <c r="I383">
        <v>0</v>
      </c>
      <c r="J383">
        <v>0</v>
      </c>
      <c r="K383">
        <v>0</v>
      </c>
      <c r="L383" s="92">
        <v>1</v>
      </c>
      <c r="M383" s="267" t="s">
        <v>535</v>
      </c>
      <c r="N383" s="268"/>
      <c r="O383" s="268"/>
      <c r="P383" s="268"/>
      <c r="Q383" s="268"/>
      <c r="R383" s="268"/>
      <c r="S383" s="268"/>
      <c r="T383" s="268"/>
      <c r="U383" s="268"/>
      <c r="V383" s="269"/>
      <c r="W383" s="198" t="s">
        <v>289</v>
      </c>
      <c r="X383" s="93">
        <v>42286</v>
      </c>
      <c r="Y383" t="s">
        <v>513</v>
      </c>
    </row>
    <row r="384" spans="1:25" s="80" customFormat="1" ht="36" customHeight="1" thickBot="1" x14ac:dyDescent="0.35">
      <c r="A384" s="250" t="s">
        <v>536</v>
      </c>
      <c r="B384" s="208">
        <v>42286</v>
      </c>
      <c r="C384" s="262">
        <v>45363</v>
      </c>
      <c r="D384" s="210">
        <v>42221</v>
      </c>
      <c r="E384" s="265" t="s">
        <v>177</v>
      </c>
      <c r="G384" s="80">
        <v>17</v>
      </c>
      <c r="H384" s="80">
        <v>1</v>
      </c>
      <c r="I384" s="80">
        <v>0</v>
      </c>
      <c r="J384" s="80">
        <v>0</v>
      </c>
      <c r="K384" s="80">
        <v>0</v>
      </c>
      <c r="L384" s="81">
        <v>1</v>
      </c>
      <c r="M384" s="286" t="s">
        <v>537</v>
      </c>
      <c r="N384" s="287"/>
      <c r="O384" s="287"/>
      <c r="P384" s="287"/>
      <c r="Q384" s="287"/>
      <c r="R384" s="287"/>
      <c r="S384" s="287"/>
      <c r="T384" s="287"/>
      <c r="U384" s="287"/>
      <c r="V384" s="288"/>
      <c r="W384" s="211" t="s">
        <v>289</v>
      </c>
      <c r="X384" s="82">
        <v>42286</v>
      </c>
      <c r="Y384" s="80" t="s">
        <v>513</v>
      </c>
    </row>
    <row r="385" spans="1:25" ht="36" customHeight="1" x14ac:dyDescent="0.3">
      <c r="A385" s="244" t="s">
        <v>538</v>
      </c>
      <c r="B385" s="245">
        <v>42286</v>
      </c>
      <c r="C385" s="264">
        <v>266532</v>
      </c>
      <c r="D385" s="149">
        <v>42270</v>
      </c>
      <c r="E385" s="265">
        <v>42306</v>
      </c>
      <c r="G385">
        <v>22</v>
      </c>
      <c r="H385">
        <v>0</v>
      </c>
      <c r="I385">
        <v>0</v>
      </c>
      <c r="J385">
        <v>0</v>
      </c>
      <c r="K385">
        <v>0</v>
      </c>
      <c r="L385" s="92">
        <v>1</v>
      </c>
      <c r="M385" s="335" t="s">
        <v>539</v>
      </c>
      <c r="N385" s="292"/>
      <c r="O385" s="292"/>
      <c r="P385" s="292"/>
      <c r="Q385" s="292"/>
      <c r="R385" s="292"/>
      <c r="S385" s="292"/>
      <c r="T385" s="292"/>
      <c r="U385" s="292"/>
      <c r="V385" s="293"/>
      <c r="W385" s="204" t="s">
        <v>289</v>
      </c>
      <c r="X385" s="93">
        <v>42286</v>
      </c>
      <c r="Y385" t="s">
        <v>513</v>
      </c>
    </row>
    <row r="386" spans="1:25" ht="36" customHeight="1" x14ac:dyDescent="0.3">
      <c r="A386" s="142" t="s">
        <v>538</v>
      </c>
      <c r="B386" s="143">
        <v>42286</v>
      </c>
      <c r="C386" s="256">
        <v>194200</v>
      </c>
      <c r="D386" s="149">
        <v>42109</v>
      </c>
      <c r="E386" s="265" t="s">
        <v>177</v>
      </c>
      <c r="G386">
        <v>22</v>
      </c>
      <c r="H386">
        <v>0</v>
      </c>
      <c r="I386">
        <v>0</v>
      </c>
      <c r="J386">
        <v>0</v>
      </c>
      <c r="K386">
        <v>0</v>
      </c>
      <c r="L386" s="92">
        <v>1</v>
      </c>
      <c r="M386" s="267" t="s">
        <v>540</v>
      </c>
      <c r="N386" s="268"/>
      <c r="O386" s="268"/>
      <c r="P386" s="268"/>
      <c r="Q386" s="268"/>
      <c r="R386" s="268"/>
      <c r="S386" s="268"/>
      <c r="T386" s="268"/>
      <c r="U386" s="268"/>
      <c r="V386" s="269"/>
      <c r="W386" s="198" t="s">
        <v>289</v>
      </c>
      <c r="X386" s="93">
        <v>42286</v>
      </c>
      <c r="Y386" t="s">
        <v>513</v>
      </c>
    </row>
    <row r="387" spans="1:25" ht="36" customHeight="1" x14ac:dyDescent="0.3">
      <c r="A387" s="142" t="s">
        <v>541</v>
      </c>
      <c r="B387" s="143">
        <v>42286</v>
      </c>
      <c r="C387" s="256">
        <v>17633</v>
      </c>
      <c r="D387" s="149">
        <v>42290</v>
      </c>
      <c r="E387" s="265" t="s">
        <v>177</v>
      </c>
      <c r="G387">
        <v>13</v>
      </c>
      <c r="H387">
        <v>1</v>
      </c>
      <c r="I387">
        <v>0</v>
      </c>
      <c r="J387">
        <v>0</v>
      </c>
      <c r="K387">
        <v>0</v>
      </c>
      <c r="L387" s="92">
        <v>1</v>
      </c>
      <c r="M387" s="267" t="s">
        <v>542</v>
      </c>
      <c r="N387" s="268"/>
      <c r="O387" s="268"/>
      <c r="P387" s="268"/>
      <c r="Q387" s="268"/>
      <c r="R387" s="268"/>
      <c r="S387" s="268"/>
      <c r="T387" s="268"/>
      <c r="U387" s="268"/>
      <c r="V387" s="269"/>
      <c r="W387" s="198" t="s">
        <v>289</v>
      </c>
      <c r="X387" s="93">
        <v>42286</v>
      </c>
      <c r="Y387" t="s">
        <v>513</v>
      </c>
    </row>
    <row r="388" spans="1:25" ht="36" customHeight="1" x14ac:dyDescent="0.3">
      <c r="A388" s="142" t="s">
        <v>541</v>
      </c>
      <c r="B388" s="143">
        <v>42286</v>
      </c>
      <c r="C388" s="256">
        <v>187473</v>
      </c>
      <c r="D388" s="149">
        <v>42234</v>
      </c>
      <c r="E388" s="265" t="s">
        <v>177</v>
      </c>
      <c r="G388">
        <v>9</v>
      </c>
      <c r="H388">
        <v>0</v>
      </c>
      <c r="I388">
        <v>0</v>
      </c>
      <c r="J388">
        <v>0</v>
      </c>
      <c r="K388">
        <v>0</v>
      </c>
      <c r="L388" s="92">
        <v>1</v>
      </c>
      <c r="M388" s="267" t="s">
        <v>183</v>
      </c>
      <c r="N388" s="268"/>
      <c r="O388" s="268"/>
      <c r="P388" s="268"/>
      <c r="Q388" s="268"/>
      <c r="R388" s="268"/>
      <c r="S388" s="268"/>
      <c r="T388" s="268"/>
      <c r="U388" s="268"/>
      <c r="V388" s="269"/>
      <c r="W388" s="198" t="s">
        <v>289</v>
      </c>
      <c r="X388" s="93">
        <v>42286</v>
      </c>
      <c r="Y388" t="s">
        <v>513</v>
      </c>
    </row>
    <row r="389" spans="1:25" ht="36" customHeight="1" x14ac:dyDescent="0.3">
      <c r="A389" s="142" t="s">
        <v>543</v>
      </c>
      <c r="B389" s="143">
        <v>42286</v>
      </c>
      <c r="C389" s="256">
        <v>276910</v>
      </c>
      <c r="D389" s="149">
        <v>42272</v>
      </c>
      <c r="E389" s="265" t="s">
        <v>177</v>
      </c>
      <c r="G389">
        <v>19</v>
      </c>
      <c r="H389">
        <v>0</v>
      </c>
      <c r="I389">
        <v>0</v>
      </c>
      <c r="J389">
        <v>0</v>
      </c>
      <c r="K389">
        <v>0</v>
      </c>
      <c r="L389" s="92">
        <v>1</v>
      </c>
      <c r="M389" s="267" t="s">
        <v>544</v>
      </c>
      <c r="N389" s="268"/>
      <c r="O389" s="268"/>
      <c r="P389" s="268"/>
      <c r="Q389" s="268"/>
      <c r="R389" s="268"/>
      <c r="S389" s="268"/>
      <c r="T389" s="268"/>
      <c r="U389" s="268"/>
      <c r="V389" s="269"/>
      <c r="W389" s="198" t="s">
        <v>289</v>
      </c>
      <c r="X389" s="93">
        <v>42286</v>
      </c>
      <c r="Y389" t="s">
        <v>513</v>
      </c>
    </row>
    <row r="390" spans="1:25" ht="36" customHeight="1" x14ac:dyDescent="0.3">
      <c r="A390" s="142" t="s">
        <v>543</v>
      </c>
      <c r="B390" s="143">
        <v>42286</v>
      </c>
      <c r="C390" s="256">
        <v>276910</v>
      </c>
      <c r="D390" s="149">
        <v>42107</v>
      </c>
      <c r="E390" s="265" t="s">
        <v>177</v>
      </c>
      <c r="G390">
        <v>19</v>
      </c>
      <c r="H390">
        <v>0</v>
      </c>
      <c r="I390">
        <v>0</v>
      </c>
      <c r="J390">
        <v>0</v>
      </c>
      <c r="K390">
        <v>0</v>
      </c>
      <c r="L390" s="92">
        <v>1</v>
      </c>
      <c r="M390" s="267" t="s">
        <v>544</v>
      </c>
      <c r="N390" s="268"/>
      <c r="O390" s="268"/>
      <c r="P390" s="268"/>
      <c r="Q390" s="268"/>
      <c r="R390" s="268"/>
      <c r="S390" s="268"/>
      <c r="T390" s="268"/>
      <c r="U390" s="268"/>
      <c r="V390" s="269"/>
      <c r="W390" s="198" t="s">
        <v>289</v>
      </c>
      <c r="X390" s="93">
        <v>42286</v>
      </c>
      <c r="Y390" t="s">
        <v>513</v>
      </c>
    </row>
    <row r="391" spans="1:25" ht="36" customHeight="1" x14ac:dyDescent="0.3">
      <c r="A391" s="142" t="s">
        <v>156</v>
      </c>
      <c r="B391" s="143">
        <v>42286</v>
      </c>
      <c r="C391" s="256">
        <v>39459</v>
      </c>
      <c r="D391" s="149">
        <v>42269</v>
      </c>
      <c r="E391" s="265">
        <v>42290</v>
      </c>
      <c r="G391">
        <v>23</v>
      </c>
      <c r="H391">
        <v>0</v>
      </c>
      <c r="I391">
        <v>0</v>
      </c>
      <c r="J391">
        <v>0</v>
      </c>
      <c r="K391">
        <v>0</v>
      </c>
      <c r="L391" s="92">
        <v>1</v>
      </c>
      <c r="M391" s="267" t="s">
        <v>545</v>
      </c>
      <c r="N391" s="268"/>
      <c r="O391" s="268"/>
      <c r="P391" s="268"/>
      <c r="Q391" s="268"/>
      <c r="R391" s="268"/>
      <c r="S391" s="268"/>
      <c r="T391" s="268"/>
      <c r="U391" s="268"/>
      <c r="V391" s="269"/>
      <c r="W391" s="198" t="s">
        <v>289</v>
      </c>
      <c r="X391" s="93">
        <v>42286</v>
      </c>
      <c r="Y391" t="s">
        <v>513</v>
      </c>
    </row>
    <row r="392" spans="1:25" ht="36" customHeight="1" x14ac:dyDescent="0.3">
      <c r="A392" s="142" t="s">
        <v>505</v>
      </c>
      <c r="B392" s="143">
        <v>42286</v>
      </c>
      <c r="C392" s="256">
        <v>22510</v>
      </c>
      <c r="D392" s="149">
        <v>42279</v>
      </c>
      <c r="E392" s="265" t="s">
        <v>618</v>
      </c>
      <c r="G392">
        <v>22</v>
      </c>
      <c r="H392">
        <v>0</v>
      </c>
      <c r="I392">
        <v>0</v>
      </c>
      <c r="J392">
        <v>0</v>
      </c>
      <c r="K392">
        <v>0</v>
      </c>
      <c r="L392" s="92">
        <v>1</v>
      </c>
      <c r="M392" s="267" t="s">
        <v>546</v>
      </c>
      <c r="N392" s="268"/>
      <c r="O392" s="268"/>
      <c r="P392" s="268"/>
      <c r="Q392" s="268"/>
      <c r="R392" s="268"/>
      <c r="S392" s="268"/>
      <c r="T392" s="268"/>
      <c r="U392" s="268"/>
      <c r="V392" s="269"/>
      <c r="W392" s="198" t="s">
        <v>289</v>
      </c>
      <c r="X392" s="93">
        <v>42286</v>
      </c>
      <c r="Y392" t="s">
        <v>513</v>
      </c>
    </row>
    <row r="393" spans="1:25" ht="36" customHeight="1" x14ac:dyDescent="0.3">
      <c r="A393" s="142" t="s">
        <v>547</v>
      </c>
      <c r="B393" s="143">
        <v>42286</v>
      </c>
      <c r="C393" s="256">
        <v>29303</v>
      </c>
      <c r="D393" s="149">
        <v>42250</v>
      </c>
      <c r="E393" s="265" t="s">
        <v>618</v>
      </c>
      <c r="G393">
        <v>8</v>
      </c>
      <c r="H393">
        <v>1</v>
      </c>
      <c r="I393">
        <v>0</v>
      </c>
      <c r="J393">
        <v>0</v>
      </c>
      <c r="K393">
        <v>0</v>
      </c>
      <c r="L393" s="92">
        <v>1</v>
      </c>
      <c r="M393" s="267" t="s">
        <v>183</v>
      </c>
      <c r="N393" s="268"/>
      <c r="O393" s="268"/>
      <c r="P393" s="268"/>
      <c r="Q393" s="268"/>
      <c r="R393" s="268"/>
      <c r="S393" s="268"/>
      <c r="T393" s="268"/>
      <c r="U393" s="268"/>
      <c r="V393" s="269"/>
      <c r="W393" s="198" t="s">
        <v>289</v>
      </c>
      <c r="X393" s="93">
        <v>42286</v>
      </c>
      <c r="Y393" t="s">
        <v>513</v>
      </c>
    </row>
    <row r="394" spans="1:25" ht="36" customHeight="1" x14ac:dyDescent="0.3">
      <c r="A394" s="142" t="s">
        <v>157</v>
      </c>
      <c r="B394" s="143">
        <v>42283</v>
      </c>
      <c r="C394" s="256">
        <v>295024</v>
      </c>
      <c r="D394" s="149">
        <v>42212</v>
      </c>
      <c r="E394" s="265" t="s">
        <v>618</v>
      </c>
      <c r="G394">
        <v>18</v>
      </c>
      <c r="H394">
        <v>0</v>
      </c>
      <c r="I394">
        <v>0</v>
      </c>
      <c r="J394">
        <v>0</v>
      </c>
      <c r="K394">
        <v>0</v>
      </c>
      <c r="L394" s="92">
        <v>1</v>
      </c>
      <c r="M394" s="267" t="s">
        <v>548</v>
      </c>
      <c r="N394" s="268"/>
      <c r="O394" s="268"/>
      <c r="P394" s="268"/>
      <c r="Q394" s="268"/>
      <c r="R394" s="268"/>
      <c r="S394" s="268"/>
      <c r="T394" s="268"/>
      <c r="U394" s="268"/>
      <c r="V394" s="269"/>
      <c r="W394" s="198" t="s">
        <v>289</v>
      </c>
      <c r="X394" s="93">
        <v>42286</v>
      </c>
      <c r="Y394" t="s">
        <v>138</v>
      </c>
    </row>
    <row r="395" spans="1:25" ht="36" customHeight="1" x14ac:dyDescent="0.3">
      <c r="A395" s="142" t="s">
        <v>549</v>
      </c>
      <c r="B395" s="143">
        <v>42286</v>
      </c>
      <c r="C395" s="256">
        <v>190772</v>
      </c>
      <c r="D395" s="149">
        <v>42235</v>
      </c>
      <c r="E395" s="265" t="s">
        <v>618</v>
      </c>
      <c r="G395">
        <v>11</v>
      </c>
      <c r="H395">
        <v>0</v>
      </c>
      <c r="I395">
        <v>0</v>
      </c>
      <c r="J395">
        <v>0</v>
      </c>
      <c r="K395">
        <v>0</v>
      </c>
      <c r="L395" s="92">
        <v>1</v>
      </c>
      <c r="M395" s="267" t="s">
        <v>550</v>
      </c>
      <c r="N395" s="268"/>
      <c r="O395" s="268"/>
      <c r="P395" s="268"/>
      <c r="Q395" s="268"/>
      <c r="R395" s="268"/>
      <c r="S395" s="268"/>
      <c r="T395" s="268"/>
      <c r="U395" s="268"/>
      <c r="V395" s="269"/>
      <c r="W395" s="198" t="s">
        <v>289</v>
      </c>
      <c r="X395" s="93">
        <v>42286</v>
      </c>
      <c r="Y395" t="s">
        <v>138</v>
      </c>
    </row>
    <row r="396" spans="1:25" ht="36" customHeight="1" x14ac:dyDescent="0.3">
      <c r="A396" s="142" t="s">
        <v>549</v>
      </c>
      <c r="B396" s="143">
        <v>42286</v>
      </c>
      <c r="C396" s="256">
        <v>171982</v>
      </c>
      <c r="D396" s="149">
        <v>42291</v>
      </c>
      <c r="E396" s="265">
        <v>42318</v>
      </c>
      <c r="G396">
        <v>11</v>
      </c>
      <c r="H396">
        <v>0</v>
      </c>
      <c r="I396">
        <v>0</v>
      </c>
      <c r="J396">
        <v>0</v>
      </c>
      <c r="K396">
        <v>0</v>
      </c>
      <c r="L396" s="92">
        <v>1</v>
      </c>
      <c r="M396" s="267" t="s">
        <v>551</v>
      </c>
      <c r="N396" s="268"/>
      <c r="O396" s="268"/>
      <c r="P396" s="268"/>
      <c r="Q396" s="268"/>
      <c r="R396" s="268"/>
      <c r="S396" s="268"/>
      <c r="T396" s="268"/>
      <c r="U396" s="268"/>
      <c r="V396" s="269"/>
      <c r="W396" s="198" t="s">
        <v>289</v>
      </c>
      <c r="X396" s="93">
        <v>42286</v>
      </c>
      <c r="Y396" t="s">
        <v>138</v>
      </c>
    </row>
    <row r="397" spans="1:25" ht="36" customHeight="1" x14ac:dyDescent="0.3">
      <c r="A397" s="142" t="s">
        <v>172</v>
      </c>
      <c r="B397" s="143">
        <v>42284</v>
      </c>
      <c r="C397" s="256">
        <v>314418</v>
      </c>
      <c r="D397" s="149">
        <v>42291</v>
      </c>
      <c r="E397" s="265">
        <v>42325</v>
      </c>
      <c r="G397">
        <v>39</v>
      </c>
      <c r="H397">
        <v>0</v>
      </c>
      <c r="I397">
        <v>0</v>
      </c>
      <c r="J397">
        <v>0</v>
      </c>
      <c r="K397">
        <v>0</v>
      </c>
      <c r="L397" s="92">
        <v>1</v>
      </c>
      <c r="M397" s="267" t="s">
        <v>552</v>
      </c>
      <c r="N397" s="268"/>
      <c r="O397" s="268"/>
      <c r="P397" s="268"/>
      <c r="Q397" s="268"/>
      <c r="R397" s="268"/>
      <c r="S397" s="268"/>
      <c r="T397" s="268"/>
      <c r="U397" s="268"/>
      <c r="V397" s="269"/>
      <c r="W397" s="198" t="s">
        <v>289</v>
      </c>
      <c r="X397" s="93">
        <v>42286</v>
      </c>
      <c r="Y397" t="s">
        <v>138</v>
      </c>
    </row>
    <row r="398" spans="1:25" ht="36" customHeight="1" x14ac:dyDescent="0.3">
      <c r="A398" s="142" t="s">
        <v>172</v>
      </c>
      <c r="B398" s="143">
        <v>42284</v>
      </c>
      <c r="C398" s="256">
        <v>314418</v>
      </c>
      <c r="D398" s="149">
        <v>42283</v>
      </c>
      <c r="E398" s="265">
        <v>42328</v>
      </c>
      <c r="G398">
        <v>39</v>
      </c>
      <c r="H398">
        <v>0</v>
      </c>
      <c r="I398">
        <v>0</v>
      </c>
      <c r="J398">
        <v>0</v>
      </c>
      <c r="K398">
        <v>0</v>
      </c>
      <c r="L398" s="92">
        <v>1</v>
      </c>
      <c r="M398" s="267" t="s">
        <v>552</v>
      </c>
      <c r="N398" s="268"/>
      <c r="O398" s="268"/>
      <c r="P398" s="268"/>
      <c r="Q398" s="268"/>
      <c r="R398" s="268"/>
      <c r="S398" s="268"/>
      <c r="T398" s="268"/>
      <c r="U398" s="268"/>
      <c r="V398" s="269"/>
      <c r="W398" s="198" t="s">
        <v>289</v>
      </c>
      <c r="X398" s="93">
        <v>42286</v>
      </c>
      <c r="Y398" t="s">
        <v>138</v>
      </c>
    </row>
    <row r="399" spans="1:25" ht="36" customHeight="1" x14ac:dyDescent="0.3">
      <c r="A399" s="142" t="s">
        <v>210</v>
      </c>
      <c r="B399" s="143">
        <v>42283</v>
      </c>
      <c r="C399" s="256">
        <v>85083</v>
      </c>
      <c r="D399" s="149">
        <v>42255</v>
      </c>
      <c r="G399">
        <v>19</v>
      </c>
      <c r="H399">
        <v>1</v>
      </c>
      <c r="I399">
        <v>0</v>
      </c>
      <c r="J399">
        <v>0</v>
      </c>
      <c r="K399">
        <v>0</v>
      </c>
      <c r="L399" s="92">
        <v>1</v>
      </c>
      <c r="M399" s="267" t="s">
        <v>553</v>
      </c>
      <c r="N399" s="268"/>
      <c r="O399" s="268"/>
      <c r="P399" s="268"/>
      <c r="Q399" s="268"/>
      <c r="R399" s="268"/>
      <c r="S399" s="268"/>
      <c r="T399" s="268"/>
      <c r="U399" s="268"/>
      <c r="V399" s="269"/>
      <c r="W399" s="198" t="s">
        <v>289</v>
      </c>
      <c r="X399" s="93">
        <v>42286</v>
      </c>
      <c r="Y399" t="s">
        <v>138</v>
      </c>
    </row>
    <row r="400" spans="1:25" s="80" customFormat="1" ht="36" customHeight="1" thickBot="1" x14ac:dyDescent="0.35">
      <c r="A400" s="250" t="s">
        <v>210</v>
      </c>
      <c r="B400" s="208">
        <v>42283</v>
      </c>
      <c r="C400" s="262">
        <v>85083</v>
      </c>
      <c r="D400" s="149">
        <v>42235</v>
      </c>
      <c r="G400" s="80">
        <v>19</v>
      </c>
      <c r="H400" s="80">
        <v>1</v>
      </c>
      <c r="I400" s="80">
        <v>0</v>
      </c>
      <c r="J400" s="80">
        <v>0</v>
      </c>
      <c r="K400" s="80">
        <v>0</v>
      </c>
      <c r="L400" s="81">
        <v>1</v>
      </c>
      <c r="M400" s="286" t="s">
        <v>553</v>
      </c>
      <c r="N400" s="287"/>
      <c r="O400" s="287"/>
      <c r="P400" s="287"/>
      <c r="Q400" s="287"/>
      <c r="R400" s="287"/>
      <c r="S400" s="287"/>
      <c r="T400" s="287"/>
      <c r="U400" s="287"/>
      <c r="V400" s="288"/>
      <c r="W400" s="211" t="s">
        <v>289</v>
      </c>
      <c r="X400" s="82">
        <v>42286</v>
      </c>
      <c r="Y400" s="80" t="s">
        <v>138</v>
      </c>
    </row>
    <row r="401" spans="1:25" ht="36" customHeight="1" x14ac:dyDescent="0.3">
      <c r="A401" s="142" t="s">
        <v>404</v>
      </c>
      <c r="B401" s="143">
        <v>42293</v>
      </c>
      <c r="C401" s="256">
        <v>148643</v>
      </c>
      <c r="D401" s="149">
        <v>42167</v>
      </c>
      <c r="G401">
        <v>22</v>
      </c>
      <c r="H401">
        <v>0</v>
      </c>
      <c r="I401">
        <v>0</v>
      </c>
      <c r="J401">
        <v>0</v>
      </c>
      <c r="K401">
        <v>0</v>
      </c>
      <c r="L401" s="92">
        <v>1</v>
      </c>
      <c r="M401" s="267" t="s">
        <v>554</v>
      </c>
      <c r="N401" s="268"/>
      <c r="O401" s="268"/>
      <c r="P401" s="268"/>
      <c r="Q401" s="268"/>
      <c r="R401" s="268"/>
      <c r="S401" s="268"/>
      <c r="T401" s="268"/>
      <c r="U401" s="268"/>
      <c r="V401" s="269"/>
      <c r="W401" s="204" t="s">
        <v>289</v>
      </c>
      <c r="X401" s="93">
        <v>42293</v>
      </c>
      <c r="Y401" t="s">
        <v>132</v>
      </c>
    </row>
    <row r="402" spans="1:25" ht="36" customHeight="1" x14ac:dyDescent="0.3">
      <c r="A402" s="142" t="s">
        <v>404</v>
      </c>
      <c r="B402" s="143">
        <v>42293</v>
      </c>
      <c r="C402" s="256">
        <v>79554</v>
      </c>
      <c r="D402" s="149">
        <v>42244</v>
      </c>
      <c r="G402">
        <v>20</v>
      </c>
      <c r="H402">
        <v>1</v>
      </c>
      <c r="I402">
        <v>0</v>
      </c>
      <c r="J402">
        <v>0</v>
      </c>
      <c r="K402">
        <v>1</v>
      </c>
      <c r="L402" s="92">
        <v>0.95238095238095233</v>
      </c>
      <c r="M402" s="267" t="s">
        <v>555</v>
      </c>
      <c r="N402" s="268"/>
      <c r="O402" s="268"/>
      <c r="P402" s="268"/>
      <c r="Q402" s="268"/>
      <c r="R402" s="268"/>
      <c r="S402" s="268"/>
      <c r="T402" s="268"/>
      <c r="U402" s="268"/>
      <c r="V402" s="269"/>
      <c r="W402" s="198" t="s">
        <v>289</v>
      </c>
      <c r="X402" s="93">
        <v>42293</v>
      </c>
      <c r="Y402" t="s">
        <v>132</v>
      </c>
    </row>
    <row r="403" spans="1:25" ht="36" customHeight="1" x14ac:dyDescent="0.3">
      <c r="A403" s="142" t="s">
        <v>412</v>
      </c>
      <c r="B403" s="143">
        <v>42293</v>
      </c>
      <c r="C403" s="256">
        <v>161588</v>
      </c>
      <c r="D403" s="149">
        <v>42234</v>
      </c>
      <c r="G403">
        <v>21</v>
      </c>
      <c r="H403">
        <v>2</v>
      </c>
      <c r="I403">
        <v>0</v>
      </c>
      <c r="J403">
        <v>0</v>
      </c>
      <c r="K403">
        <v>2</v>
      </c>
      <c r="L403" s="92">
        <v>0.91304347826086951</v>
      </c>
      <c r="M403" s="267" t="s">
        <v>556</v>
      </c>
      <c r="N403" s="268"/>
      <c r="O403" s="268"/>
      <c r="P403" s="268"/>
      <c r="Q403" s="268"/>
      <c r="R403" s="268"/>
      <c r="S403" s="268"/>
      <c r="T403" s="268"/>
      <c r="U403" s="268"/>
      <c r="V403" s="269"/>
      <c r="W403" s="198" t="s">
        <v>289</v>
      </c>
      <c r="X403" s="93">
        <v>42293</v>
      </c>
      <c r="Y403" t="s">
        <v>132</v>
      </c>
    </row>
    <row r="404" spans="1:25" ht="36" customHeight="1" x14ac:dyDescent="0.3">
      <c r="A404" s="142" t="s">
        <v>412</v>
      </c>
      <c r="B404" s="143">
        <v>42293</v>
      </c>
      <c r="C404" s="256">
        <v>4296</v>
      </c>
      <c r="D404" s="149">
        <v>42283</v>
      </c>
      <c r="G404">
        <v>20</v>
      </c>
      <c r="H404">
        <v>2</v>
      </c>
      <c r="I404">
        <v>0</v>
      </c>
      <c r="J404">
        <v>0</v>
      </c>
      <c r="K404">
        <v>2</v>
      </c>
      <c r="L404" s="92">
        <v>0.90909090909090906</v>
      </c>
      <c r="M404" s="267" t="s">
        <v>9</v>
      </c>
      <c r="N404" s="268"/>
      <c r="O404" s="268"/>
      <c r="P404" s="268"/>
      <c r="Q404" s="268"/>
      <c r="R404" s="268"/>
      <c r="S404" s="268"/>
      <c r="T404" s="268"/>
      <c r="U404" s="268"/>
      <c r="V404" s="269"/>
      <c r="W404" s="198" t="s">
        <v>289</v>
      </c>
      <c r="X404" s="93">
        <v>42293</v>
      </c>
      <c r="Y404" t="s">
        <v>132</v>
      </c>
    </row>
    <row r="405" spans="1:25" ht="36" customHeight="1" x14ac:dyDescent="0.3">
      <c r="A405" s="142" t="s">
        <v>379</v>
      </c>
      <c r="B405" s="143">
        <v>42293</v>
      </c>
      <c r="C405" s="256">
        <v>185911</v>
      </c>
      <c r="D405" s="149">
        <v>42229</v>
      </c>
      <c r="G405">
        <v>19</v>
      </c>
      <c r="H405">
        <v>0</v>
      </c>
      <c r="I405">
        <v>0</v>
      </c>
      <c r="J405">
        <v>0</v>
      </c>
      <c r="K405">
        <v>0</v>
      </c>
      <c r="L405" s="92">
        <v>1</v>
      </c>
      <c r="M405" s="267" t="s">
        <v>557</v>
      </c>
      <c r="N405" s="268"/>
      <c r="O405" s="268"/>
      <c r="P405" s="268"/>
      <c r="Q405" s="268"/>
      <c r="R405" s="268"/>
      <c r="S405" s="268"/>
      <c r="T405" s="268"/>
      <c r="U405" s="268"/>
      <c r="V405" s="269"/>
      <c r="W405" s="198" t="s">
        <v>289</v>
      </c>
      <c r="X405" s="93">
        <v>42293</v>
      </c>
      <c r="Y405" t="s">
        <v>132</v>
      </c>
    </row>
    <row r="406" spans="1:25" ht="36" customHeight="1" x14ac:dyDescent="0.3">
      <c r="A406" s="142" t="s">
        <v>379</v>
      </c>
      <c r="B406" s="143">
        <v>42293</v>
      </c>
      <c r="C406" s="256">
        <v>47294</v>
      </c>
      <c r="D406" s="149" t="s">
        <v>577</v>
      </c>
      <c r="G406">
        <v>16</v>
      </c>
      <c r="H406">
        <v>1</v>
      </c>
      <c r="I406">
        <v>0</v>
      </c>
      <c r="J406">
        <v>0</v>
      </c>
      <c r="K406">
        <v>1</v>
      </c>
      <c r="L406" s="92">
        <v>0.94117647058823528</v>
      </c>
      <c r="M406" s="267" t="s">
        <v>558</v>
      </c>
      <c r="N406" s="268"/>
      <c r="O406" s="268"/>
      <c r="P406" s="268"/>
      <c r="Q406" s="268"/>
      <c r="R406" s="268"/>
      <c r="S406" s="268"/>
      <c r="T406" s="268"/>
      <c r="U406" s="268"/>
      <c r="V406" s="269"/>
      <c r="W406" s="198" t="s">
        <v>289</v>
      </c>
      <c r="X406" s="93">
        <v>42293</v>
      </c>
      <c r="Y406" t="s">
        <v>132</v>
      </c>
    </row>
    <row r="407" spans="1:25" ht="36" customHeight="1" x14ac:dyDescent="0.3">
      <c r="A407" s="142" t="s">
        <v>559</v>
      </c>
      <c r="B407" s="143">
        <v>42293</v>
      </c>
      <c r="C407" s="256">
        <v>29303</v>
      </c>
      <c r="D407" s="149">
        <v>42235</v>
      </c>
      <c r="G407">
        <v>21</v>
      </c>
      <c r="H407">
        <v>1</v>
      </c>
      <c r="I407">
        <v>0</v>
      </c>
      <c r="J407">
        <v>0</v>
      </c>
      <c r="K407">
        <v>1</v>
      </c>
      <c r="L407" s="92">
        <v>0.95454545454545459</v>
      </c>
      <c r="M407" s="267" t="s">
        <v>560</v>
      </c>
      <c r="N407" s="268"/>
      <c r="O407" s="268"/>
      <c r="P407" s="268"/>
      <c r="Q407" s="268"/>
      <c r="R407" s="268"/>
      <c r="S407" s="268"/>
      <c r="T407" s="268"/>
      <c r="U407" s="268"/>
      <c r="V407" s="269"/>
      <c r="W407" s="198" t="s">
        <v>289</v>
      </c>
      <c r="X407" s="93">
        <v>42293</v>
      </c>
      <c r="Y407" t="s">
        <v>132</v>
      </c>
    </row>
    <row r="408" spans="1:25" ht="36" customHeight="1" x14ac:dyDescent="0.3">
      <c r="A408" s="142" t="s">
        <v>505</v>
      </c>
      <c r="B408" s="143">
        <v>42293</v>
      </c>
      <c r="C408" s="256">
        <v>83720</v>
      </c>
      <c r="D408" s="149">
        <v>42258</v>
      </c>
      <c r="G408">
        <v>22</v>
      </c>
      <c r="H408">
        <v>0</v>
      </c>
      <c r="I408">
        <v>0</v>
      </c>
      <c r="J408">
        <v>0</v>
      </c>
      <c r="K408">
        <v>0</v>
      </c>
      <c r="L408" s="92">
        <v>1</v>
      </c>
      <c r="M408" s="267" t="s">
        <v>561</v>
      </c>
      <c r="N408" s="268"/>
      <c r="O408" s="268"/>
      <c r="P408" s="268"/>
      <c r="Q408" s="268"/>
      <c r="R408" s="268"/>
      <c r="S408" s="268"/>
      <c r="T408" s="268"/>
      <c r="U408" s="268"/>
      <c r="V408" s="269"/>
      <c r="W408" s="198" t="s">
        <v>289</v>
      </c>
      <c r="X408" s="93">
        <v>42293</v>
      </c>
      <c r="Y408" t="s">
        <v>132</v>
      </c>
    </row>
    <row r="409" spans="1:25" ht="36" customHeight="1" x14ac:dyDescent="0.3">
      <c r="A409" s="142" t="s">
        <v>172</v>
      </c>
      <c r="B409" s="143">
        <v>42292</v>
      </c>
      <c r="C409" s="256">
        <v>93596</v>
      </c>
      <c r="D409" s="149">
        <v>42226</v>
      </c>
      <c r="G409">
        <v>10</v>
      </c>
      <c r="H409">
        <v>0</v>
      </c>
      <c r="I409">
        <v>0</v>
      </c>
      <c r="J409">
        <v>0</v>
      </c>
      <c r="K409">
        <v>0</v>
      </c>
      <c r="L409" s="92">
        <v>1</v>
      </c>
      <c r="M409" s="267" t="s">
        <v>562</v>
      </c>
      <c r="N409" s="268"/>
      <c r="O409" s="268"/>
      <c r="P409" s="268"/>
      <c r="Q409" s="268"/>
      <c r="R409" s="268"/>
      <c r="S409" s="268"/>
      <c r="T409" s="268"/>
      <c r="U409" s="268"/>
      <c r="V409" s="269"/>
      <c r="W409" s="198" t="s">
        <v>289</v>
      </c>
      <c r="X409" s="93">
        <v>42293</v>
      </c>
      <c r="Y409" t="s">
        <v>138</v>
      </c>
    </row>
    <row r="410" spans="1:25" ht="36" customHeight="1" x14ac:dyDescent="0.3">
      <c r="A410" s="142" t="s">
        <v>172</v>
      </c>
      <c r="B410" s="143">
        <v>42291</v>
      </c>
      <c r="C410" s="256">
        <v>93596</v>
      </c>
      <c r="D410" s="149">
        <v>42207</v>
      </c>
      <c r="G410">
        <v>15</v>
      </c>
      <c r="H410">
        <v>0</v>
      </c>
      <c r="I410">
        <v>0</v>
      </c>
      <c r="J410">
        <v>0</v>
      </c>
      <c r="K410">
        <v>0</v>
      </c>
      <c r="L410" s="92">
        <v>1</v>
      </c>
      <c r="M410" s="267" t="s">
        <v>563</v>
      </c>
      <c r="N410" s="268"/>
      <c r="O410" s="268"/>
      <c r="P410" s="268"/>
      <c r="Q410" s="268"/>
      <c r="R410" s="268"/>
      <c r="S410" s="268"/>
      <c r="T410" s="268"/>
      <c r="U410" s="268"/>
      <c r="V410" s="269"/>
      <c r="W410" s="198" t="s">
        <v>289</v>
      </c>
      <c r="X410" s="93">
        <v>42293</v>
      </c>
      <c r="Y410" t="s">
        <v>138</v>
      </c>
    </row>
    <row r="411" spans="1:25" ht="36" customHeight="1" x14ac:dyDescent="0.3">
      <c r="A411" s="142" t="s">
        <v>210</v>
      </c>
      <c r="B411" s="143">
        <v>42292</v>
      </c>
      <c r="C411" s="256">
        <v>22163</v>
      </c>
      <c r="D411" s="149">
        <v>42025</v>
      </c>
      <c r="G411">
        <v>15</v>
      </c>
      <c r="H411">
        <v>0</v>
      </c>
      <c r="I411">
        <v>0</v>
      </c>
      <c r="J411">
        <v>0</v>
      </c>
      <c r="K411">
        <v>0</v>
      </c>
      <c r="L411" s="92">
        <v>1</v>
      </c>
      <c r="M411" s="267" t="s">
        <v>564</v>
      </c>
      <c r="N411" s="268"/>
      <c r="O411" s="268"/>
      <c r="P411" s="268"/>
      <c r="Q411" s="268"/>
      <c r="R411" s="268"/>
      <c r="S411" s="268"/>
      <c r="T411" s="268"/>
      <c r="U411" s="268"/>
      <c r="V411" s="269"/>
      <c r="W411" s="198" t="s">
        <v>289</v>
      </c>
      <c r="X411" s="93">
        <v>42293</v>
      </c>
      <c r="Y411" t="s">
        <v>138</v>
      </c>
    </row>
    <row r="412" spans="1:25" ht="36" customHeight="1" x14ac:dyDescent="0.3">
      <c r="A412" s="142" t="s">
        <v>549</v>
      </c>
      <c r="B412" s="143">
        <v>42292</v>
      </c>
      <c r="C412" s="256">
        <v>220754</v>
      </c>
      <c r="D412" s="149">
        <v>42291</v>
      </c>
      <c r="G412">
        <v>14</v>
      </c>
      <c r="H412">
        <v>1</v>
      </c>
      <c r="I412">
        <v>0</v>
      </c>
      <c r="J412">
        <v>0</v>
      </c>
      <c r="K412">
        <v>0</v>
      </c>
      <c r="L412" s="92">
        <v>1</v>
      </c>
      <c r="M412" s="267" t="s">
        <v>565</v>
      </c>
      <c r="N412" s="268"/>
      <c r="O412" s="268"/>
      <c r="P412" s="268"/>
      <c r="Q412" s="268"/>
      <c r="R412" s="268"/>
      <c r="S412" s="268"/>
      <c r="T412" s="268"/>
      <c r="U412" s="268"/>
      <c r="V412" s="269"/>
      <c r="W412" s="198" t="s">
        <v>289</v>
      </c>
      <c r="X412" s="93">
        <v>42293</v>
      </c>
      <c r="Y412" t="s">
        <v>138</v>
      </c>
    </row>
    <row r="413" spans="1:25" ht="36" customHeight="1" x14ac:dyDescent="0.3">
      <c r="A413" s="142" t="s">
        <v>210</v>
      </c>
      <c r="B413" s="143">
        <v>42292</v>
      </c>
      <c r="C413" s="256">
        <v>56146</v>
      </c>
      <c r="D413" s="149">
        <v>42236</v>
      </c>
      <c r="G413">
        <v>5</v>
      </c>
      <c r="H413">
        <v>10</v>
      </c>
      <c r="I413">
        <v>0</v>
      </c>
      <c r="J413">
        <v>0</v>
      </c>
      <c r="K413">
        <v>0</v>
      </c>
      <c r="L413" s="92">
        <v>1</v>
      </c>
      <c r="M413" s="267" t="s">
        <v>566</v>
      </c>
      <c r="N413" s="268"/>
      <c r="O413" s="268"/>
      <c r="P413" s="268"/>
      <c r="Q413" s="268"/>
      <c r="R413" s="268"/>
      <c r="S413" s="268"/>
      <c r="T413" s="268"/>
      <c r="U413" s="268"/>
      <c r="V413" s="269"/>
      <c r="W413" s="198" t="s">
        <v>289</v>
      </c>
      <c r="X413" s="93">
        <v>42293</v>
      </c>
      <c r="Y413" t="s">
        <v>138</v>
      </c>
    </row>
    <row r="414" spans="1:25" s="80" customFormat="1" ht="36" customHeight="1" thickBot="1" x14ac:dyDescent="0.35">
      <c r="A414" s="250" t="s">
        <v>549</v>
      </c>
      <c r="B414" s="208">
        <v>42293</v>
      </c>
      <c r="C414" s="262">
        <v>297292</v>
      </c>
      <c r="D414" s="210">
        <v>42234</v>
      </c>
      <c r="G414" s="80">
        <v>15</v>
      </c>
      <c r="H414" s="80">
        <v>0</v>
      </c>
      <c r="I414" s="80">
        <v>0</v>
      </c>
      <c r="J414" s="80">
        <v>0</v>
      </c>
      <c r="K414" s="80">
        <v>0</v>
      </c>
      <c r="L414" s="81">
        <v>1</v>
      </c>
      <c r="M414" s="286" t="s">
        <v>567</v>
      </c>
      <c r="N414" s="287"/>
      <c r="O414" s="287"/>
      <c r="P414" s="287"/>
      <c r="Q414" s="287"/>
      <c r="R414" s="287"/>
      <c r="S414" s="287"/>
      <c r="T414" s="287"/>
      <c r="U414" s="287"/>
      <c r="V414" s="288"/>
      <c r="W414" s="211" t="s">
        <v>289</v>
      </c>
      <c r="X414" s="82">
        <v>42293</v>
      </c>
      <c r="Y414" s="80" t="s">
        <v>138</v>
      </c>
    </row>
    <row r="415" spans="1:25" ht="36" customHeight="1" x14ac:dyDescent="0.3">
      <c r="A415" s="244" t="s">
        <v>559</v>
      </c>
      <c r="B415" s="245">
        <v>42299</v>
      </c>
      <c r="C415" s="264">
        <v>253083</v>
      </c>
      <c r="D415" s="247">
        <v>41957</v>
      </c>
      <c r="G415">
        <v>24</v>
      </c>
      <c r="H415">
        <v>0</v>
      </c>
      <c r="I415">
        <v>0</v>
      </c>
      <c r="J415">
        <v>0</v>
      </c>
      <c r="K415">
        <v>0</v>
      </c>
      <c r="L415" s="92">
        <v>1</v>
      </c>
      <c r="M415" s="335" t="s">
        <v>568</v>
      </c>
      <c r="N415" s="292"/>
      <c r="O415" s="292"/>
      <c r="P415" s="292"/>
      <c r="Q415" s="292"/>
      <c r="R415" s="292"/>
      <c r="S415" s="292"/>
      <c r="T415" s="292"/>
      <c r="U415" s="292"/>
      <c r="V415" s="293"/>
      <c r="W415" s="204" t="s">
        <v>289</v>
      </c>
      <c r="X415" s="93">
        <v>42299</v>
      </c>
      <c r="Y415" t="s">
        <v>132</v>
      </c>
    </row>
    <row r="416" spans="1:25" ht="36" customHeight="1" x14ac:dyDescent="0.3">
      <c r="A416" s="142" t="s">
        <v>559</v>
      </c>
      <c r="B416" s="143">
        <v>42299</v>
      </c>
      <c r="C416" s="256">
        <v>291585</v>
      </c>
      <c r="D416" s="266">
        <v>42292</v>
      </c>
      <c r="G416">
        <v>12</v>
      </c>
      <c r="H416">
        <v>0</v>
      </c>
      <c r="I416">
        <v>0</v>
      </c>
      <c r="J416">
        <v>0</v>
      </c>
      <c r="K416">
        <v>0</v>
      </c>
      <c r="L416" s="92">
        <v>1</v>
      </c>
      <c r="M416" s="267" t="s">
        <v>416</v>
      </c>
      <c r="N416" s="268"/>
      <c r="O416" s="268"/>
      <c r="P416" s="268"/>
      <c r="Q416" s="268"/>
      <c r="R416" s="268"/>
      <c r="S416" s="268"/>
      <c r="T416" s="268"/>
      <c r="U416" s="268"/>
      <c r="V416" s="269"/>
      <c r="W416" s="198" t="s">
        <v>289</v>
      </c>
      <c r="X416" s="93">
        <v>42299</v>
      </c>
      <c r="Y416" t="s">
        <v>132</v>
      </c>
    </row>
    <row r="417" spans="1:25" ht="36" customHeight="1" x14ac:dyDescent="0.3">
      <c r="A417" s="142" t="s">
        <v>459</v>
      </c>
      <c r="B417" s="143">
        <v>42299</v>
      </c>
      <c r="C417" s="256">
        <v>85351</v>
      </c>
      <c r="D417" s="266">
        <v>42248</v>
      </c>
      <c r="G417">
        <v>31</v>
      </c>
      <c r="H417">
        <v>0</v>
      </c>
      <c r="I417">
        <v>0</v>
      </c>
      <c r="J417">
        <v>0</v>
      </c>
      <c r="K417">
        <v>0</v>
      </c>
      <c r="L417" s="92">
        <v>1</v>
      </c>
      <c r="M417" s="267" t="s">
        <v>569</v>
      </c>
      <c r="N417" s="268"/>
      <c r="O417" s="268"/>
      <c r="P417" s="268"/>
      <c r="Q417" s="268"/>
      <c r="R417" s="268"/>
      <c r="S417" s="268"/>
      <c r="T417" s="268"/>
      <c r="U417" s="268"/>
      <c r="V417" s="269"/>
      <c r="W417" s="198" t="s">
        <v>289</v>
      </c>
      <c r="X417" s="93">
        <v>42299</v>
      </c>
      <c r="Y417" t="s">
        <v>132</v>
      </c>
    </row>
    <row r="418" spans="1:25" ht="36" customHeight="1" x14ac:dyDescent="0.3">
      <c r="A418" s="142" t="s">
        <v>459</v>
      </c>
      <c r="B418" s="143">
        <v>42299</v>
      </c>
      <c r="C418" s="256">
        <v>60965</v>
      </c>
      <c r="D418" s="266" t="s">
        <v>590</v>
      </c>
      <c r="G418">
        <v>24</v>
      </c>
      <c r="H418">
        <v>0</v>
      </c>
      <c r="I418">
        <v>0</v>
      </c>
      <c r="J418">
        <v>0</v>
      </c>
      <c r="K418">
        <v>0</v>
      </c>
      <c r="L418" s="92">
        <v>1</v>
      </c>
      <c r="M418" s="267" t="s">
        <v>570</v>
      </c>
      <c r="N418" s="268"/>
      <c r="O418" s="268"/>
      <c r="P418" s="268"/>
      <c r="Q418" s="268"/>
      <c r="R418" s="268"/>
      <c r="S418" s="268"/>
      <c r="T418" s="268"/>
      <c r="U418" s="268"/>
      <c r="V418" s="269"/>
      <c r="W418" s="198" t="s">
        <v>289</v>
      </c>
      <c r="X418" s="93">
        <v>42299</v>
      </c>
      <c r="Y418" t="s">
        <v>132</v>
      </c>
    </row>
    <row r="419" spans="1:25" ht="36" customHeight="1" x14ac:dyDescent="0.3">
      <c r="A419" s="142" t="s">
        <v>571</v>
      </c>
      <c r="B419" s="143">
        <v>42299</v>
      </c>
      <c r="C419" s="256">
        <v>32859</v>
      </c>
      <c r="D419" s="266">
        <v>42236</v>
      </c>
      <c r="G419">
        <v>5</v>
      </c>
      <c r="H419">
        <v>4</v>
      </c>
      <c r="I419">
        <v>0</v>
      </c>
      <c r="J419">
        <v>0</v>
      </c>
      <c r="K419">
        <v>4</v>
      </c>
      <c r="L419" s="92">
        <v>0.55555555555555558</v>
      </c>
      <c r="M419" s="267" t="s">
        <v>572</v>
      </c>
      <c r="N419" s="268"/>
      <c r="O419" s="268"/>
      <c r="P419" s="268"/>
      <c r="Q419" s="268"/>
      <c r="R419" s="268"/>
      <c r="S419" s="268"/>
      <c r="T419" s="268"/>
      <c r="U419" s="268"/>
      <c r="V419" s="269"/>
      <c r="W419" s="198" t="s">
        <v>289</v>
      </c>
      <c r="X419" s="93">
        <v>42299</v>
      </c>
      <c r="Y419" t="s">
        <v>132</v>
      </c>
    </row>
    <row r="420" spans="1:25" ht="36" customHeight="1" x14ac:dyDescent="0.3">
      <c r="A420" s="142" t="s">
        <v>379</v>
      </c>
      <c r="B420" s="143">
        <v>42299</v>
      </c>
      <c r="C420" s="256">
        <v>144757</v>
      </c>
      <c r="D420" s="266">
        <v>42304</v>
      </c>
      <c r="G420">
        <v>15</v>
      </c>
      <c r="H420">
        <v>12</v>
      </c>
      <c r="I420">
        <v>0</v>
      </c>
      <c r="J420">
        <v>0</v>
      </c>
      <c r="K420">
        <v>13</v>
      </c>
      <c r="L420" s="92">
        <v>0</v>
      </c>
      <c r="M420" s="267" t="s">
        <v>573</v>
      </c>
      <c r="N420" s="268"/>
      <c r="O420" s="268"/>
      <c r="P420" s="268"/>
      <c r="Q420" s="268"/>
      <c r="R420" s="268"/>
      <c r="S420" s="268"/>
      <c r="T420" s="268"/>
      <c r="U420" s="268"/>
      <c r="V420" s="269"/>
      <c r="W420" s="198" t="s">
        <v>289</v>
      </c>
      <c r="X420" s="93">
        <v>42299</v>
      </c>
      <c r="Y420" t="s">
        <v>132</v>
      </c>
    </row>
    <row r="421" spans="1:25" ht="36" customHeight="1" x14ac:dyDescent="0.3">
      <c r="A421" s="142" t="s">
        <v>172</v>
      </c>
      <c r="B421" s="143">
        <v>42298</v>
      </c>
      <c r="C421" s="256" t="s">
        <v>574</v>
      </c>
      <c r="D421" s="266">
        <v>42152</v>
      </c>
      <c r="G421">
        <v>32</v>
      </c>
      <c r="H421">
        <v>0</v>
      </c>
      <c r="I421">
        <v>0</v>
      </c>
      <c r="J421">
        <v>0</v>
      </c>
      <c r="K421">
        <v>0</v>
      </c>
      <c r="L421" s="92">
        <v>1</v>
      </c>
      <c r="M421" s="267" t="s">
        <v>575</v>
      </c>
      <c r="N421" s="268"/>
      <c r="O421" s="268"/>
      <c r="P421" s="268"/>
      <c r="Q421" s="268"/>
      <c r="R421" s="268"/>
      <c r="S421" s="268"/>
      <c r="T421" s="268"/>
      <c r="U421" s="268"/>
      <c r="V421" s="269"/>
      <c r="W421" s="198" t="s">
        <v>289</v>
      </c>
      <c r="X421" s="93">
        <v>42299</v>
      </c>
      <c r="Y421" t="s">
        <v>132</v>
      </c>
    </row>
    <row r="422" spans="1:25" ht="36" customHeight="1" x14ac:dyDescent="0.3">
      <c r="A422" s="142" t="s">
        <v>172</v>
      </c>
      <c r="B422" s="143">
        <v>42298</v>
      </c>
      <c r="C422" s="256">
        <v>181465</v>
      </c>
      <c r="D422" s="266">
        <v>42233</v>
      </c>
      <c r="G422">
        <v>18</v>
      </c>
      <c r="H422">
        <v>2</v>
      </c>
      <c r="I422">
        <v>0</v>
      </c>
      <c r="J422">
        <v>0</v>
      </c>
      <c r="K422">
        <v>2</v>
      </c>
      <c r="L422" s="92">
        <v>0</v>
      </c>
      <c r="M422" s="267" t="s">
        <v>576</v>
      </c>
      <c r="N422" s="268"/>
      <c r="O422" s="268"/>
      <c r="P422" s="268"/>
      <c r="Q422" s="268"/>
      <c r="R422" s="268"/>
      <c r="S422" s="268"/>
      <c r="T422" s="268"/>
      <c r="U422" s="268"/>
      <c r="V422" s="269"/>
      <c r="W422" s="198" t="s">
        <v>289</v>
      </c>
      <c r="X422" s="93">
        <v>42299</v>
      </c>
      <c r="Y422" t="s">
        <v>132</v>
      </c>
    </row>
    <row r="423" spans="1:25" ht="36" customHeight="1" x14ac:dyDescent="0.3">
      <c r="A423" s="142" t="s">
        <v>210</v>
      </c>
      <c r="B423" s="143">
        <v>42298</v>
      </c>
      <c r="C423" s="256">
        <v>26062</v>
      </c>
      <c r="D423" s="266">
        <v>42223</v>
      </c>
      <c r="G423">
        <v>19</v>
      </c>
      <c r="H423">
        <v>0</v>
      </c>
      <c r="I423">
        <v>0</v>
      </c>
      <c r="J423">
        <v>0</v>
      </c>
      <c r="K423">
        <v>0</v>
      </c>
      <c r="L423" s="92">
        <v>1</v>
      </c>
      <c r="M423" s="267" t="s">
        <v>578</v>
      </c>
      <c r="N423" s="268"/>
      <c r="O423" s="268"/>
      <c r="P423" s="268"/>
      <c r="Q423" s="268"/>
      <c r="R423" s="268"/>
      <c r="S423" s="268"/>
      <c r="T423" s="268"/>
      <c r="U423" s="268"/>
      <c r="V423" s="269"/>
      <c r="W423" s="198" t="s">
        <v>289</v>
      </c>
      <c r="X423" s="93">
        <v>42299</v>
      </c>
      <c r="Y423" t="s">
        <v>132</v>
      </c>
    </row>
    <row r="424" spans="1:25" ht="36" customHeight="1" x14ac:dyDescent="0.3">
      <c r="A424" s="142" t="s">
        <v>210</v>
      </c>
      <c r="B424" s="143">
        <v>42299</v>
      </c>
      <c r="C424" s="256">
        <v>22163</v>
      </c>
      <c r="D424" s="266">
        <v>42222</v>
      </c>
      <c r="G424">
        <v>19</v>
      </c>
      <c r="H424">
        <v>0</v>
      </c>
      <c r="I424">
        <v>0</v>
      </c>
      <c r="J424">
        <v>0</v>
      </c>
      <c r="K424">
        <v>0</v>
      </c>
      <c r="L424" s="92">
        <v>1</v>
      </c>
      <c r="M424" s="267" t="s">
        <v>9</v>
      </c>
      <c r="N424" s="268"/>
      <c r="O424" s="268"/>
      <c r="P424" s="268"/>
      <c r="Q424" s="268"/>
      <c r="R424" s="268"/>
      <c r="S424" s="268"/>
      <c r="T424" s="268"/>
      <c r="U424" s="268"/>
      <c r="V424" s="269"/>
      <c r="W424" s="198" t="s">
        <v>289</v>
      </c>
      <c r="X424" s="93">
        <v>42299</v>
      </c>
      <c r="Y424" t="s">
        <v>132</v>
      </c>
    </row>
    <row r="425" spans="1:25" ht="36" customHeight="1" x14ac:dyDescent="0.3">
      <c r="A425" s="142" t="s">
        <v>156</v>
      </c>
      <c r="B425" s="143">
        <v>42299</v>
      </c>
      <c r="C425" s="256">
        <v>120451</v>
      </c>
      <c r="D425" s="266">
        <v>42289</v>
      </c>
      <c r="G425">
        <v>19</v>
      </c>
      <c r="H425">
        <v>0</v>
      </c>
      <c r="I425">
        <v>0</v>
      </c>
      <c r="J425">
        <v>0</v>
      </c>
      <c r="K425">
        <v>0</v>
      </c>
      <c r="L425" s="92">
        <v>1</v>
      </c>
      <c r="M425" s="267" t="s">
        <v>579</v>
      </c>
      <c r="N425" s="268"/>
      <c r="O425" s="268"/>
      <c r="P425" s="268"/>
      <c r="Q425" s="268"/>
      <c r="R425" s="268"/>
      <c r="S425" s="268"/>
      <c r="T425" s="268"/>
      <c r="U425" s="268"/>
      <c r="V425" s="269"/>
      <c r="W425" s="198" t="s">
        <v>289</v>
      </c>
      <c r="X425" s="93">
        <v>42299</v>
      </c>
      <c r="Y425" t="s">
        <v>132</v>
      </c>
    </row>
    <row r="426" spans="1:25" ht="36" customHeight="1" x14ac:dyDescent="0.3">
      <c r="A426" s="142" t="s">
        <v>156</v>
      </c>
      <c r="B426" s="143">
        <v>42299</v>
      </c>
      <c r="C426" s="256">
        <v>51231</v>
      </c>
      <c r="D426" s="266">
        <v>42289</v>
      </c>
      <c r="G426">
        <v>23</v>
      </c>
      <c r="H426">
        <v>0</v>
      </c>
      <c r="I426">
        <v>0</v>
      </c>
      <c r="J426">
        <v>0</v>
      </c>
      <c r="K426">
        <v>0</v>
      </c>
      <c r="L426" s="92">
        <v>1</v>
      </c>
      <c r="M426" s="267" t="s">
        <v>580</v>
      </c>
      <c r="N426" s="268"/>
      <c r="O426" s="268"/>
      <c r="P426" s="268"/>
      <c r="Q426" s="268"/>
      <c r="R426" s="268"/>
      <c r="S426" s="268"/>
      <c r="T426" s="268"/>
      <c r="U426" s="268"/>
      <c r="V426" s="269"/>
      <c r="W426" s="198" t="s">
        <v>289</v>
      </c>
      <c r="X426" s="93">
        <v>42299</v>
      </c>
      <c r="Y426" t="s">
        <v>132</v>
      </c>
    </row>
    <row r="427" spans="1:25" ht="36" customHeight="1" x14ac:dyDescent="0.3">
      <c r="A427" s="142" t="s">
        <v>581</v>
      </c>
      <c r="B427" s="143">
        <v>42299</v>
      </c>
      <c r="C427" s="256">
        <v>123892</v>
      </c>
      <c r="D427" s="266" t="s">
        <v>618</v>
      </c>
      <c r="G427">
        <v>15</v>
      </c>
      <c r="H427">
        <v>0</v>
      </c>
      <c r="I427">
        <v>0</v>
      </c>
      <c r="J427">
        <v>0</v>
      </c>
      <c r="K427">
        <v>0</v>
      </c>
      <c r="L427" s="92">
        <v>1</v>
      </c>
      <c r="M427" s="267" t="s">
        <v>9</v>
      </c>
      <c r="N427" s="268"/>
      <c r="O427" s="268"/>
      <c r="P427" s="268"/>
      <c r="Q427" s="268"/>
      <c r="R427" s="268"/>
      <c r="S427" s="268"/>
      <c r="T427" s="268"/>
      <c r="U427" s="268"/>
      <c r="V427" s="269"/>
      <c r="W427" s="198" t="s">
        <v>289</v>
      </c>
      <c r="X427" s="93">
        <v>42299</v>
      </c>
      <c r="Y427" t="s">
        <v>132</v>
      </c>
    </row>
    <row r="428" spans="1:25" ht="36" customHeight="1" x14ac:dyDescent="0.3">
      <c r="A428" s="142" t="s">
        <v>581</v>
      </c>
      <c r="B428" s="143">
        <v>42299</v>
      </c>
      <c r="C428" s="256">
        <v>130221</v>
      </c>
      <c r="D428" s="266" t="s">
        <v>618</v>
      </c>
      <c r="G428">
        <v>11</v>
      </c>
      <c r="H428">
        <v>0</v>
      </c>
      <c r="I428">
        <v>0</v>
      </c>
      <c r="J428">
        <v>0</v>
      </c>
      <c r="K428">
        <v>0</v>
      </c>
      <c r="L428" s="92">
        <v>1</v>
      </c>
      <c r="M428" s="267" t="s">
        <v>9</v>
      </c>
      <c r="N428" s="268"/>
      <c r="O428" s="268"/>
      <c r="P428" s="268"/>
      <c r="Q428" s="268"/>
      <c r="R428" s="268"/>
      <c r="S428" s="268"/>
      <c r="T428" s="268"/>
      <c r="U428" s="268"/>
      <c r="V428" s="269"/>
      <c r="W428" s="198" t="s">
        <v>289</v>
      </c>
      <c r="X428" s="93">
        <v>42299</v>
      </c>
      <c r="Y428" t="s">
        <v>132</v>
      </c>
    </row>
    <row r="429" spans="1:25" ht="36" customHeight="1" x14ac:dyDescent="0.3">
      <c r="A429" s="142" t="s">
        <v>549</v>
      </c>
      <c r="B429" s="143">
        <v>42299</v>
      </c>
      <c r="C429" s="256">
        <v>18579</v>
      </c>
      <c r="D429" s="266">
        <v>42243</v>
      </c>
      <c r="G429">
        <v>14</v>
      </c>
      <c r="H429">
        <v>1</v>
      </c>
      <c r="I429">
        <v>0</v>
      </c>
      <c r="J429">
        <v>0</v>
      </c>
      <c r="K429">
        <v>1</v>
      </c>
      <c r="L429" s="92">
        <v>0.93333333333333335</v>
      </c>
      <c r="M429" s="267" t="s">
        <v>582</v>
      </c>
      <c r="N429" s="268"/>
      <c r="O429" s="268"/>
      <c r="P429" s="268"/>
      <c r="Q429" s="268"/>
      <c r="R429" s="268"/>
      <c r="S429" s="268"/>
      <c r="T429" s="268"/>
      <c r="U429" s="268"/>
      <c r="V429" s="269"/>
      <c r="W429" s="198" t="s">
        <v>289</v>
      </c>
      <c r="X429" s="93">
        <v>42300</v>
      </c>
      <c r="Y429" t="s">
        <v>132</v>
      </c>
    </row>
    <row r="430" spans="1:25" ht="36" customHeight="1" x14ac:dyDescent="0.3">
      <c r="A430" s="142" t="s">
        <v>549</v>
      </c>
      <c r="B430" s="143">
        <v>42299</v>
      </c>
      <c r="C430" s="256">
        <v>6481</v>
      </c>
      <c r="D430" s="266">
        <v>42283</v>
      </c>
      <c r="G430">
        <v>19</v>
      </c>
      <c r="H430">
        <v>0</v>
      </c>
      <c r="I430">
        <v>0</v>
      </c>
      <c r="J430">
        <v>0</v>
      </c>
      <c r="K430">
        <v>0</v>
      </c>
      <c r="L430" s="92">
        <v>1</v>
      </c>
      <c r="M430" s="267" t="s">
        <v>583</v>
      </c>
      <c r="N430" s="268"/>
      <c r="O430" s="268"/>
      <c r="P430" s="268"/>
      <c r="Q430" s="268"/>
      <c r="R430" s="268"/>
      <c r="S430" s="268"/>
      <c r="T430" s="268"/>
      <c r="U430" s="268"/>
      <c r="V430" s="269"/>
      <c r="W430" s="198" t="s">
        <v>289</v>
      </c>
      <c r="X430" s="93">
        <v>42300</v>
      </c>
      <c r="Y430" t="s">
        <v>132</v>
      </c>
    </row>
    <row r="431" spans="1:25" ht="36" customHeight="1" x14ac:dyDescent="0.3">
      <c r="A431" s="142" t="s">
        <v>223</v>
      </c>
      <c r="B431" s="143">
        <v>42299</v>
      </c>
      <c r="C431" s="256">
        <v>72515</v>
      </c>
      <c r="D431" s="266">
        <v>42317</v>
      </c>
      <c r="G431">
        <v>24</v>
      </c>
      <c r="H431">
        <v>0</v>
      </c>
      <c r="I431">
        <v>0</v>
      </c>
      <c r="J431">
        <v>0</v>
      </c>
      <c r="K431">
        <v>0</v>
      </c>
      <c r="L431" s="92">
        <v>1</v>
      </c>
      <c r="M431" s="267" t="s">
        <v>584</v>
      </c>
      <c r="N431" s="268"/>
      <c r="O431" s="268"/>
      <c r="P431" s="268"/>
      <c r="Q431" s="268"/>
      <c r="R431" s="268"/>
      <c r="S431" s="268"/>
      <c r="T431" s="268"/>
      <c r="U431" s="268"/>
      <c r="V431" s="269"/>
      <c r="W431" s="198" t="s">
        <v>289</v>
      </c>
      <c r="X431" s="93">
        <v>42300</v>
      </c>
      <c r="Y431" t="s">
        <v>132</v>
      </c>
    </row>
    <row r="432" spans="1:25" ht="36" customHeight="1" x14ac:dyDescent="0.3">
      <c r="A432" s="142" t="s">
        <v>585</v>
      </c>
      <c r="B432" s="143">
        <v>42299</v>
      </c>
      <c r="C432" s="256">
        <v>101116</v>
      </c>
      <c r="D432" s="266">
        <v>42234</v>
      </c>
      <c r="G432">
        <v>24</v>
      </c>
      <c r="H432">
        <v>0</v>
      </c>
      <c r="I432">
        <v>0</v>
      </c>
      <c r="J432">
        <v>0</v>
      </c>
      <c r="K432">
        <v>0</v>
      </c>
      <c r="L432" s="92">
        <v>1</v>
      </c>
      <c r="M432" s="267" t="s">
        <v>587</v>
      </c>
      <c r="N432" s="268"/>
      <c r="O432" s="268"/>
      <c r="P432" s="268"/>
      <c r="Q432" s="268"/>
      <c r="R432" s="268"/>
      <c r="S432" s="268"/>
      <c r="T432" s="268"/>
      <c r="U432" s="268"/>
      <c r="V432" s="269"/>
      <c r="W432" s="198" t="s">
        <v>289</v>
      </c>
      <c r="X432" s="93">
        <v>42300</v>
      </c>
      <c r="Y432" t="s">
        <v>132</v>
      </c>
    </row>
    <row r="433" spans="1:25" ht="36" customHeight="1" x14ac:dyDescent="0.3">
      <c r="A433" s="142" t="s">
        <v>190</v>
      </c>
      <c r="B433" s="143">
        <v>42300</v>
      </c>
      <c r="C433" s="256">
        <v>95500</v>
      </c>
      <c r="D433" s="266">
        <v>42282</v>
      </c>
      <c r="G433">
        <v>24</v>
      </c>
      <c r="H433">
        <v>0</v>
      </c>
      <c r="I433">
        <v>0</v>
      </c>
      <c r="J433">
        <v>0</v>
      </c>
      <c r="K433">
        <v>0</v>
      </c>
      <c r="L433" s="92">
        <v>1</v>
      </c>
      <c r="M433" s="267" t="s">
        <v>588</v>
      </c>
      <c r="N433" s="268"/>
      <c r="O433" s="268"/>
      <c r="P433" s="268"/>
      <c r="Q433" s="268"/>
      <c r="R433" s="268"/>
      <c r="S433" s="268"/>
      <c r="T433" s="268"/>
      <c r="U433" s="268"/>
      <c r="V433" s="269"/>
      <c r="W433" s="198" t="s">
        <v>289</v>
      </c>
      <c r="X433" s="93">
        <v>42300</v>
      </c>
      <c r="Y433" t="s">
        <v>456</v>
      </c>
    </row>
    <row r="434" spans="1:25" ht="36" customHeight="1" x14ac:dyDescent="0.3">
      <c r="A434" s="142" t="s">
        <v>190</v>
      </c>
      <c r="B434" s="143">
        <v>42300</v>
      </c>
      <c r="C434" s="256">
        <v>60360</v>
      </c>
      <c r="D434" s="266">
        <v>42327</v>
      </c>
      <c r="G434">
        <v>23</v>
      </c>
      <c r="H434">
        <v>1</v>
      </c>
      <c r="I434">
        <v>0</v>
      </c>
      <c r="J434">
        <v>0</v>
      </c>
      <c r="K434">
        <v>1</v>
      </c>
      <c r="L434" s="92">
        <v>0.95833333333333337</v>
      </c>
      <c r="M434" s="267" t="s">
        <v>589</v>
      </c>
      <c r="N434" s="268"/>
      <c r="O434" s="268"/>
      <c r="P434" s="268"/>
      <c r="Q434" s="268"/>
      <c r="R434" s="268"/>
      <c r="S434" s="268"/>
      <c r="T434" s="268"/>
      <c r="U434" s="268"/>
      <c r="V434" s="269"/>
      <c r="W434" s="198" t="s">
        <v>289</v>
      </c>
      <c r="X434" s="93">
        <v>42300</v>
      </c>
      <c r="Y434" t="s">
        <v>456</v>
      </c>
    </row>
    <row r="435" spans="1:25" ht="36" customHeight="1" x14ac:dyDescent="0.3">
      <c r="A435" s="142" t="s">
        <v>472</v>
      </c>
      <c r="B435" s="143">
        <v>42300</v>
      </c>
      <c r="C435" s="256">
        <v>29514</v>
      </c>
      <c r="D435" s="266">
        <v>42317</v>
      </c>
      <c r="G435">
        <v>24</v>
      </c>
      <c r="H435">
        <v>0</v>
      </c>
      <c r="I435">
        <v>0</v>
      </c>
      <c r="J435">
        <v>0</v>
      </c>
      <c r="K435">
        <v>0</v>
      </c>
      <c r="L435" s="92">
        <v>1</v>
      </c>
      <c r="M435" s="267" t="s">
        <v>591</v>
      </c>
      <c r="N435" s="268"/>
      <c r="O435" s="268"/>
      <c r="P435" s="268"/>
      <c r="Q435" s="268"/>
      <c r="R435" s="268"/>
      <c r="S435" s="268"/>
      <c r="T435" s="268"/>
      <c r="U435" s="268"/>
      <c r="V435" s="269"/>
      <c r="W435" s="198" t="s">
        <v>289</v>
      </c>
      <c r="X435" s="93">
        <v>42300</v>
      </c>
      <c r="Y435" t="s">
        <v>456</v>
      </c>
    </row>
    <row r="436" spans="1:25" ht="36" customHeight="1" x14ac:dyDescent="0.3">
      <c r="A436" s="142" t="s">
        <v>592</v>
      </c>
      <c r="B436" s="143">
        <v>42300</v>
      </c>
      <c r="C436" s="256">
        <v>73767</v>
      </c>
      <c r="D436" s="266">
        <v>41970</v>
      </c>
      <c r="G436">
        <v>24</v>
      </c>
      <c r="H436">
        <v>0</v>
      </c>
      <c r="I436">
        <v>0</v>
      </c>
      <c r="J436">
        <v>0</v>
      </c>
      <c r="K436">
        <v>0</v>
      </c>
      <c r="L436" s="92">
        <v>1</v>
      </c>
      <c r="M436" s="267" t="s">
        <v>591</v>
      </c>
      <c r="N436" s="268"/>
      <c r="O436" s="268"/>
      <c r="P436" s="268"/>
      <c r="Q436" s="268"/>
      <c r="R436" s="268"/>
      <c r="S436" s="268"/>
      <c r="T436" s="268"/>
      <c r="U436" s="268"/>
      <c r="V436" s="269"/>
      <c r="W436" s="198" t="s">
        <v>289</v>
      </c>
      <c r="X436" s="93">
        <v>42300</v>
      </c>
      <c r="Y436" t="s">
        <v>456</v>
      </c>
    </row>
    <row r="437" spans="1:25" ht="36" customHeight="1" x14ac:dyDescent="0.3">
      <c r="A437" s="142" t="s">
        <v>593</v>
      </c>
      <c r="B437" s="143">
        <v>42300</v>
      </c>
      <c r="C437" s="256">
        <v>3852</v>
      </c>
      <c r="D437" s="266">
        <v>42311</v>
      </c>
      <c r="G437">
        <v>24</v>
      </c>
      <c r="H437">
        <v>0</v>
      </c>
      <c r="I437">
        <v>0</v>
      </c>
      <c r="J437">
        <v>0</v>
      </c>
      <c r="K437">
        <v>0</v>
      </c>
      <c r="L437" s="92">
        <v>1</v>
      </c>
      <c r="M437" s="267" t="s">
        <v>591</v>
      </c>
      <c r="N437" s="268"/>
      <c r="O437" s="268"/>
      <c r="P437" s="268"/>
      <c r="Q437" s="268"/>
      <c r="R437" s="268"/>
      <c r="S437" s="268"/>
      <c r="T437" s="268"/>
      <c r="U437" s="268"/>
      <c r="V437" s="269"/>
      <c r="W437" s="198" t="s">
        <v>289</v>
      </c>
      <c r="X437" s="93">
        <v>42300</v>
      </c>
      <c r="Y437" t="s">
        <v>456</v>
      </c>
    </row>
    <row r="438" spans="1:25" ht="36" customHeight="1" x14ac:dyDescent="0.3">
      <c r="A438" s="142" t="s">
        <v>202</v>
      </c>
      <c r="B438" s="143">
        <v>42300</v>
      </c>
      <c r="C438" s="256">
        <v>178971</v>
      </c>
      <c r="D438" s="266">
        <v>42188</v>
      </c>
      <c r="G438">
        <v>24</v>
      </c>
      <c r="H438">
        <v>0</v>
      </c>
      <c r="I438">
        <v>0</v>
      </c>
      <c r="J438">
        <v>0</v>
      </c>
      <c r="K438">
        <v>0</v>
      </c>
      <c r="L438" s="92">
        <v>1</v>
      </c>
      <c r="M438" s="267" t="s">
        <v>591</v>
      </c>
      <c r="N438" s="268"/>
      <c r="O438" s="268"/>
      <c r="P438" s="268"/>
      <c r="Q438" s="268"/>
      <c r="R438" s="268"/>
      <c r="S438" s="268"/>
      <c r="T438" s="268"/>
      <c r="U438" s="268"/>
      <c r="V438" s="269"/>
      <c r="W438" s="198" t="s">
        <v>289</v>
      </c>
      <c r="X438" s="93">
        <v>42300</v>
      </c>
      <c r="Y438" t="s">
        <v>456</v>
      </c>
    </row>
    <row r="439" spans="1:25" ht="36" customHeight="1" x14ac:dyDescent="0.3">
      <c r="A439" s="142" t="s">
        <v>595</v>
      </c>
      <c r="B439" s="143">
        <v>42300</v>
      </c>
      <c r="C439" s="256" t="s">
        <v>594</v>
      </c>
      <c r="D439" s="266">
        <v>42324</v>
      </c>
      <c r="G439">
        <v>24</v>
      </c>
      <c r="H439">
        <v>0</v>
      </c>
      <c r="I439">
        <v>0</v>
      </c>
      <c r="J439">
        <v>0</v>
      </c>
      <c r="K439">
        <v>0</v>
      </c>
      <c r="L439" s="92">
        <v>1</v>
      </c>
      <c r="M439" s="267" t="s">
        <v>596</v>
      </c>
      <c r="N439" s="268"/>
      <c r="O439" s="268"/>
      <c r="P439" s="268"/>
      <c r="Q439" s="268"/>
      <c r="R439" s="268"/>
      <c r="S439" s="268"/>
      <c r="T439" s="268"/>
      <c r="U439" s="268"/>
      <c r="V439" s="269"/>
      <c r="W439" s="198" t="s">
        <v>289</v>
      </c>
      <c r="X439" s="93">
        <v>42300</v>
      </c>
      <c r="Y439" t="s">
        <v>456</v>
      </c>
    </row>
    <row r="440" spans="1:25" ht="36" customHeight="1" x14ac:dyDescent="0.3">
      <c r="A440" s="142" t="s">
        <v>595</v>
      </c>
      <c r="B440" s="143">
        <v>42300</v>
      </c>
      <c r="C440" s="256" t="s">
        <v>597</v>
      </c>
      <c r="D440" s="266">
        <v>42305</v>
      </c>
      <c r="G440">
        <v>24</v>
      </c>
      <c r="H440">
        <v>0</v>
      </c>
      <c r="I440">
        <v>0</v>
      </c>
      <c r="J440">
        <v>0</v>
      </c>
      <c r="K440">
        <v>0</v>
      </c>
      <c r="L440" s="92">
        <v>1</v>
      </c>
      <c r="M440" s="267" t="s">
        <v>598</v>
      </c>
      <c r="N440" s="268"/>
      <c r="O440" s="268"/>
      <c r="P440" s="268"/>
      <c r="Q440" s="268"/>
      <c r="R440" s="268"/>
      <c r="S440" s="268"/>
      <c r="T440" s="268"/>
      <c r="U440" s="268"/>
      <c r="V440" s="269"/>
      <c r="W440" s="198" t="s">
        <v>289</v>
      </c>
      <c r="X440" s="93">
        <v>42300</v>
      </c>
      <c r="Y440" t="s">
        <v>456</v>
      </c>
    </row>
    <row r="441" spans="1:25" ht="36" customHeight="1" x14ac:dyDescent="0.3">
      <c r="A441" s="142" t="s">
        <v>599</v>
      </c>
      <c r="B441" s="143">
        <v>42300</v>
      </c>
      <c r="C441" s="256">
        <v>22845</v>
      </c>
      <c r="D441" s="266">
        <v>42306</v>
      </c>
      <c r="G441">
        <v>24</v>
      </c>
      <c r="H441">
        <v>0</v>
      </c>
      <c r="I441">
        <v>0</v>
      </c>
      <c r="J441">
        <v>0</v>
      </c>
      <c r="K441">
        <v>0</v>
      </c>
      <c r="L441" s="92">
        <v>1</v>
      </c>
      <c r="M441" s="267" t="s">
        <v>600</v>
      </c>
      <c r="N441" s="268"/>
      <c r="O441" s="268"/>
      <c r="P441" s="268"/>
      <c r="Q441" s="268"/>
      <c r="R441" s="268"/>
      <c r="S441" s="268"/>
      <c r="T441" s="268"/>
      <c r="U441" s="268"/>
      <c r="V441" s="269"/>
      <c r="W441" s="198" t="s">
        <v>289</v>
      </c>
      <c r="X441" s="93">
        <v>42300</v>
      </c>
      <c r="Y441" t="s">
        <v>456</v>
      </c>
    </row>
    <row r="442" spans="1:25" ht="36" customHeight="1" x14ac:dyDescent="0.3">
      <c r="A442" s="142" t="s">
        <v>599</v>
      </c>
      <c r="B442" s="143">
        <v>42300</v>
      </c>
      <c r="C442" s="256">
        <v>15152</v>
      </c>
      <c r="D442" s="266">
        <v>42192</v>
      </c>
      <c r="G442">
        <v>24</v>
      </c>
      <c r="H442">
        <v>0</v>
      </c>
      <c r="I442">
        <v>0</v>
      </c>
      <c r="J442">
        <v>0</v>
      </c>
      <c r="K442">
        <v>0</v>
      </c>
      <c r="L442" s="92">
        <v>1</v>
      </c>
      <c r="M442" s="267" t="s">
        <v>601</v>
      </c>
      <c r="N442" s="268"/>
      <c r="O442" s="268"/>
      <c r="P442" s="268"/>
      <c r="Q442" s="268"/>
      <c r="R442" s="268"/>
      <c r="S442" s="268"/>
      <c r="T442" s="268"/>
      <c r="U442" s="268"/>
      <c r="V442" s="269"/>
      <c r="W442" s="198" t="s">
        <v>289</v>
      </c>
      <c r="X442" s="93">
        <v>42300</v>
      </c>
      <c r="Y442" t="s">
        <v>456</v>
      </c>
    </row>
    <row r="443" spans="1:25" ht="36" customHeight="1" x14ac:dyDescent="0.3">
      <c r="A443" s="142" t="s">
        <v>602</v>
      </c>
      <c r="B443" s="143">
        <v>42300</v>
      </c>
      <c r="C443" s="256">
        <v>208646</v>
      </c>
      <c r="D443" s="266">
        <v>42326</v>
      </c>
      <c r="G443">
        <v>23</v>
      </c>
      <c r="H443">
        <v>1</v>
      </c>
      <c r="I443">
        <v>0</v>
      </c>
      <c r="J443">
        <v>0</v>
      </c>
      <c r="K443">
        <v>1</v>
      </c>
      <c r="L443" s="92">
        <v>0.95833333333333337</v>
      </c>
      <c r="M443" s="267" t="s">
        <v>603</v>
      </c>
      <c r="N443" s="268"/>
      <c r="O443" s="268"/>
      <c r="P443" s="268"/>
      <c r="Q443" s="268"/>
      <c r="R443" s="268"/>
      <c r="S443" s="268"/>
      <c r="T443" s="268"/>
      <c r="U443" s="268"/>
      <c r="V443" s="269"/>
      <c r="W443" s="198" t="s">
        <v>289</v>
      </c>
      <c r="X443" s="93">
        <v>42300</v>
      </c>
      <c r="Y443" t="s">
        <v>456</v>
      </c>
    </row>
    <row r="444" spans="1:25" ht="36" customHeight="1" x14ac:dyDescent="0.3">
      <c r="A444" s="142" t="s">
        <v>602</v>
      </c>
      <c r="B444" s="143">
        <v>42300</v>
      </c>
      <c r="C444" s="256">
        <v>63356</v>
      </c>
      <c r="D444" s="266">
        <v>42278</v>
      </c>
      <c r="G444">
        <v>23</v>
      </c>
      <c r="H444">
        <v>1</v>
      </c>
      <c r="I444">
        <v>0</v>
      </c>
      <c r="J444">
        <v>0</v>
      </c>
      <c r="K444">
        <v>1</v>
      </c>
      <c r="L444" s="92">
        <v>0.95833333333333337</v>
      </c>
      <c r="M444" s="267" t="s">
        <v>604</v>
      </c>
      <c r="N444" s="268"/>
      <c r="O444" s="268"/>
      <c r="P444" s="268"/>
      <c r="Q444" s="268"/>
      <c r="R444" s="268"/>
      <c r="S444" s="268"/>
      <c r="T444" s="268"/>
      <c r="U444" s="268"/>
      <c r="V444" s="269"/>
      <c r="W444" s="198" t="s">
        <v>289</v>
      </c>
      <c r="X444" s="93">
        <v>42300</v>
      </c>
      <c r="Y444" t="s">
        <v>456</v>
      </c>
    </row>
    <row r="445" spans="1:25" ht="36" customHeight="1" x14ac:dyDescent="0.3">
      <c r="A445" s="142" t="s">
        <v>606</v>
      </c>
      <c r="B445" s="143">
        <v>42300</v>
      </c>
      <c r="C445" s="256" t="s">
        <v>605</v>
      </c>
      <c r="D445" s="266">
        <v>42326</v>
      </c>
      <c r="G445">
        <v>23</v>
      </c>
      <c r="H445">
        <v>1</v>
      </c>
      <c r="I445">
        <v>0</v>
      </c>
      <c r="J445">
        <v>0</v>
      </c>
      <c r="K445">
        <v>1</v>
      </c>
      <c r="L445" s="92">
        <v>0.95833333333333337</v>
      </c>
      <c r="M445" s="267" t="s">
        <v>607</v>
      </c>
      <c r="N445" s="268"/>
      <c r="O445" s="268"/>
      <c r="P445" s="268"/>
      <c r="Q445" s="268"/>
      <c r="R445" s="268"/>
      <c r="S445" s="268"/>
      <c r="T445" s="268"/>
      <c r="U445" s="268"/>
      <c r="V445" s="269"/>
      <c r="W445" s="198" t="s">
        <v>289</v>
      </c>
      <c r="X445" s="93">
        <v>42300</v>
      </c>
      <c r="Y445" t="s">
        <v>456</v>
      </c>
    </row>
    <row r="446" spans="1:25" ht="36" customHeight="1" x14ac:dyDescent="0.3">
      <c r="A446" s="142" t="s">
        <v>606</v>
      </c>
      <c r="B446" s="143">
        <v>42300</v>
      </c>
      <c r="C446" s="256" t="s">
        <v>608</v>
      </c>
      <c r="D446" s="266">
        <v>42270</v>
      </c>
      <c r="G446">
        <v>24</v>
      </c>
      <c r="H446">
        <v>0</v>
      </c>
      <c r="I446">
        <v>0</v>
      </c>
      <c r="J446">
        <v>0</v>
      </c>
      <c r="K446">
        <v>0</v>
      </c>
      <c r="L446" s="92">
        <v>1</v>
      </c>
      <c r="M446" s="267" t="s">
        <v>62</v>
      </c>
      <c r="N446" s="268"/>
      <c r="O446" s="268"/>
      <c r="P446" s="268"/>
      <c r="Q446" s="268"/>
      <c r="R446" s="268"/>
      <c r="S446" s="268"/>
      <c r="T446" s="268"/>
      <c r="U446" s="268"/>
      <c r="V446" s="269"/>
      <c r="W446" s="198" t="s">
        <v>289</v>
      </c>
      <c r="X446" s="93">
        <v>42300</v>
      </c>
      <c r="Y446" t="s">
        <v>456</v>
      </c>
    </row>
    <row r="447" spans="1:25" ht="36" customHeight="1" x14ac:dyDescent="0.3">
      <c r="A447" s="142" t="s">
        <v>609</v>
      </c>
      <c r="B447" s="143">
        <v>42300</v>
      </c>
      <c r="C447" s="256" t="s">
        <v>610</v>
      </c>
      <c r="G447">
        <v>24</v>
      </c>
      <c r="H447">
        <v>0</v>
      </c>
      <c r="I447">
        <v>0</v>
      </c>
      <c r="J447">
        <v>0</v>
      </c>
      <c r="K447">
        <v>0</v>
      </c>
      <c r="L447" s="92">
        <v>1</v>
      </c>
      <c r="M447" s="267" t="s">
        <v>62</v>
      </c>
      <c r="N447" s="268"/>
      <c r="O447" s="268"/>
      <c r="P447" s="268"/>
      <c r="Q447" s="268"/>
      <c r="R447" s="268"/>
      <c r="S447" s="268"/>
      <c r="T447" s="268"/>
      <c r="U447" s="268"/>
      <c r="V447" s="269"/>
      <c r="W447" s="198" t="s">
        <v>289</v>
      </c>
      <c r="X447" s="93">
        <v>42300</v>
      </c>
      <c r="Y447" t="s">
        <v>456</v>
      </c>
    </row>
    <row r="448" spans="1:25" s="80" customFormat="1" ht="36" customHeight="1" thickBot="1" x14ac:dyDescent="0.35">
      <c r="A448" s="250" t="s">
        <v>609</v>
      </c>
      <c r="B448" s="208">
        <v>42300</v>
      </c>
      <c r="C448" s="262" t="s">
        <v>611</v>
      </c>
      <c r="G448" s="80">
        <v>24</v>
      </c>
      <c r="H448" s="80">
        <v>0</v>
      </c>
      <c r="I448" s="80">
        <v>0</v>
      </c>
      <c r="J448" s="80">
        <v>0</v>
      </c>
      <c r="K448" s="80">
        <v>0</v>
      </c>
      <c r="L448" s="81">
        <v>1</v>
      </c>
      <c r="M448" s="286" t="s">
        <v>62</v>
      </c>
      <c r="N448" s="287"/>
      <c r="O448" s="287"/>
      <c r="P448" s="287"/>
      <c r="Q448" s="287"/>
      <c r="R448" s="287"/>
      <c r="S448" s="287"/>
      <c r="T448" s="287"/>
      <c r="U448" s="287"/>
      <c r="V448" s="288"/>
      <c r="W448" s="211" t="s">
        <v>289</v>
      </c>
      <c r="X448" s="82">
        <v>42300</v>
      </c>
      <c r="Y448" s="80" t="s">
        <v>456</v>
      </c>
    </row>
    <row r="449" spans="1:25" ht="36" customHeight="1" x14ac:dyDescent="0.3">
      <c r="A449" s="142" t="s">
        <v>412</v>
      </c>
      <c r="B449" s="143">
        <v>42307</v>
      </c>
      <c r="C449" s="256">
        <v>73447</v>
      </c>
      <c r="G449">
        <v>21</v>
      </c>
      <c r="H449">
        <v>1</v>
      </c>
      <c r="I449">
        <v>0</v>
      </c>
      <c r="J449">
        <v>0</v>
      </c>
      <c r="K449">
        <v>1</v>
      </c>
      <c r="L449" s="92">
        <v>0.95454545454545459</v>
      </c>
      <c r="M449" s="267" t="s">
        <v>9</v>
      </c>
      <c r="N449" s="268"/>
      <c r="O449" s="268"/>
      <c r="P449" s="268"/>
      <c r="Q449" s="268"/>
      <c r="R449" s="268"/>
      <c r="S449" s="268"/>
      <c r="T449" s="268"/>
      <c r="U449" s="268"/>
      <c r="V449" s="269"/>
      <c r="W449" s="204" t="s">
        <v>289</v>
      </c>
      <c r="X449" s="93">
        <v>42307</v>
      </c>
      <c r="Y449" t="s">
        <v>132</v>
      </c>
    </row>
    <row r="450" spans="1:25" ht="36" customHeight="1" x14ac:dyDescent="0.3">
      <c r="A450" s="142" t="s">
        <v>549</v>
      </c>
      <c r="B450" s="143">
        <v>42307</v>
      </c>
      <c r="C450" s="256">
        <v>2706</v>
      </c>
      <c r="G450">
        <v>19</v>
      </c>
      <c r="H450">
        <v>0</v>
      </c>
      <c r="I450">
        <v>0</v>
      </c>
      <c r="J450">
        <v>0</v>
      </c>
      <c r="K450">
        <v>0</v>
      </c>
      <c r="L450" s="92">
        <v>1</v>
      </c>
      <c r="M450" s="267" t="s">
        <v>612</v>
      </c>
      <c r="N450" s="268"/>
      <c r="O450" s="268"/>
      <c r="P450" s="268"/>
      <c r="Q450" s="268"/>
      <c r="R450" s="268"/>
      <c r="S450" s="268"/>
      <c r="T450" s="268"/>
      <c r="U450" s="268"/>
      <c r="V450" s="269"/>
      <c r="W450" s="198" t="s">
        <v>289</v>
      </c>
      <c r="X450" s="93">
        <v>42307</v>
      </c>
      <c r="Y450" t="s">
        <v>132</v>
      </c>
    </row>
    <row r="451" spans="1:25" ht="36" customHeight="1" x14ac:dyDescent="0.3">
      <c r="A451" s="142" t="s">
        <v>549</v>
      </c>
      <c r="B451" s="143">
        <v>42307</v>
      </c>
      <c r="C451" s="256">
        <v>328017</v>
      </c>
      <c r="G451">
        <v>8</v>
      </c>
      <c r="H451">
        <v>0</v>
      </c>
      <c r="I451">
        <v>0</v>
      </c>
      <c r="J451">
        <v>0</v>
      </c>
      <c r="K451">
        <v>0</v>
      </c>
      <c r="L451" s="92">
        <v>1</v>
      </c>
      <c r="M451" s="267" t="s">
        <v>613</v>
      </c>
      <c r="N451" s="268"/>
      <c r="O451" s="268"/>
      <c r="P451" s="268"/>
      <c r="Q451" s="268"/>
      <c r="R451" s="268"/>
      <c r="S451" s="268"/>
      <c r="T451" s="268"/>
      <c r="U451" s="268"/>
      <c r="V451" s="269"/>
      <c r="W451" s="198" t="s">
        <v>289</v>
      </c>
      <c r="X451" s="93">
        <v>42307</v>
      </c>
      <c r="Y451" t="s">
        <v>132</v>
      </c>
    </row>
    <row r="452" spans="1:25" ht="36" customHeight="1" x14ac:dyDescent="0.3">
      <c r="A452" s="142" t="s">
        <v>379</v>
      </c>
      <c r="B452" s="143">
        <v>42307</v>
      </c>
      <c r="C452" s="256">
        <v>122645</v>
      </c>
      <c r="G452">
        <v>24</v>
      </c>
      <c r="H452">
        <v>7</v>
      </c>
      <c r="I452">
        <v>0</v>
      </c>
      <c r="J452">
        <v>0</v>
      </c>
      <c r="K452">
        <v>7</v>
      </c>
      <c r="L452" s="92">
        <v>0.77419354838709675</v>
      </c>
      <c r="M452" s="267" t="s">
        <v>612</v>
      </c>
      <c r="N452" s="268"/>
      <c r="O452" s="268"/>
      <c r="P452" s="268"/>
      <c r="Q452" s="268"/>
      <c r="R452" s="268"/>
      <c r="S452" s="268"/>
      <c r="T452" s="268"/>
      <c r="U452" s="268"/>
      <c r="V452" s="269"/>
      <c r="W452" s="198" t="s">
        <v>289</v>
      </c>
      <c r="X452" s="93">
        <v>42307</v>
      </c>
      <c r="Y452" t="s">
        <v>132</v>
      </c>
    </row>
    <row r="453" spans="1:25" ht="36" customHeight="1" x14ac:dyDescent="0.3">
      <c r="A453" s="142" t="s">
        <v>210</v>
      </c>
      <c r="B453" s="143">
        <v>42307</v>
      </c>
      <c r="C453" s="256">
        <v>43339</v>
      </c>
      <c r="G453">
        <v>16</v>
      </c>
      <c r="H453">
        <v>6</v>
      </c>
      <c r="I453">
        <v>0</v>
      </c>
      <c r="J453">
        <v>0</v>
      </c>
      <c r="K453">
        <v>2</v>
      </c>
      <c r="L453" s="92">
        <v>0.88888888888888884</v>
      </c>
      <c r="M453" s="267" t="s">
        <v>614</v>
      </c>
      <c r="N453" s="268"/>
      <c r="O453" s="268"/>
      <c r="P453" s="268"/>
      <c r="Q453" s="268"/>
      <c r="R453" s="268"/>
      <c r="S453" s="268"/>
      <c r="T453" s="268"/>
      <c r="U453" s="268"/>
      <c r="V453" s="269"/>
      <c r="W453" s="198" t="s">
        <v>289</v>
      </c>
      <c r="X453" s="93">
        <v>42307</v>
      </c>
      <c r="Y453" t="s">
        <v>132</v>
      </c>
    </row>
    <row r="454" spans="1:25" ht="36" customHeight="1" x14ac:dyDescent="0.3">
      <c r="A454" s="142" t="s">
        <v>156</v>
      </c>
      <c r="B454" s="143">
        <v>42307</v>
      </c>
      <c r="C454" s="256">
        <v>121132</v>
      </c>
      <c r="G454">
        <v>19</v>
      </c>
      <c r="H454">
        <v>2</v>
      </c>
      <c r="I454">
        <v>0</v>
      </c>
      <c r="J454">
        <v>1</v>
      </c>
      <c r="K454">
        <v>1</v>
      </c>
      <c r="L454" s="92">
        <v>0.95</v>
      </c>
      <c r="M454" s="267" t="s">
        <v>612</v>
      </c>
      <c r="N454" s="268"/>
      <c r="O454" s="268"/>
      <c r="P454" s="268"/>
      <c r="Q454" s="268"/>
      <c r="R454" s="268"/>
      <c r="S454" s="268"/>
      <c r="T454" s="268"/>
      <c r="U454" s="268"/>
      <c r="V454" s="269"/>
      <c r="W454" s="198" t="s">
        <v>289</v>
      </c>
      <c r="X454" s="93">
        <v>42307</v>
      </c>
      <c r="Y454" t="s">
        <v>132</v>
      </c>
    </row>
    <row r="455" spans="1:25" ht="36" customHeight="1" x14ac:dyDescent="0.3">
      <c r="A455" s="142" t="s">
        <v>223</v>
      </c>
      <c r="B455" s="143">
        <v>42307</v>
      </c>
      <c r="C455" s="256" t="s">
        <v>615</v>
      </c>
      <c r="G455">
        <v>10</v>
      </c>
      <c r="H455">
        <v>4</v>
      </c>
      <c r="I455">
        <v>0</v>
      </c>
      <c r="J455">
        <v>0</v>
      </c>
      <c r="K455">
        <v>4</v>
      </c>
      <c r="L455" s="92">
        <v>0.7142857142857143</v>
      </c>
      <c r="M455" s="267" t="s">
        <v>616</v>
      </c>
      <c r="N455" s="268"/>
      <c r="O455" s="268"/>
      <c r="P455" s="268"/>
      <c r="Q455" s="268"/>
      <c r="R455" s="268"/>
      <c r="S455" s="268"/>
      <c r="T455" s="268"/>
      <c r="U455" s="268"/>
      <c r="V455" s="269"/>
      <c r="W455" s="198" t="s">
        <v>289</v>
      </c>
      <c r="X455" s="93">
        <v>42307</v>
      </c>
      <c r="Y455" t="s">
        <v>132</v>
      </c>
    </row>
    <row r="456" spans="1:25" ht="36" customHeight="1" x14ac:dyDescent="0.3">
      <c r="A456" s="142" t="s">
        <v>438</v>
      </c>
      <c r="B456" s="143">
        <v>42307</v>
      </c>
      <c r="C456" s="256" t="s">
        <v>615</v>
      </c>
      <c r="G456">
        <v>10</v>
      </c>
      <c r="H456">
        <v>5</v>
      </c>
      <c r="I456">
        <v>0</v>
      </c>
      <c r="J456">
        <v>0</v>
      </c>
      <c r="K456">
        <v>5</v>
      </c>
      <c r="L456" s="92">
        <v>0.66666666666666663</v>
      </c>
      <c r="M456" s="267" t="s">
        <v>614</v>
      </c>
      <c r="N456" s="268"/>
      <c r="O456" s="268"/>
      <c r="P456" s="268"/>
      <c r="Q456" s="268"/>
      <c r="R456" s="268"/>
      <c r="S456" s="268"/>
      <c r="T456" s="268"/>
      <c r="U456" s="268"/>
      <c r="V456" s="269"/>
      <c r="W456" s="198" t="s">
        <v>289</v>
      </c>
      <c r="X456" s="93">
        <v>42307</v>
      </c>
      <c r="Y456" t="s">
        <v>132</v>
      </c>
    </row>
    <row r="457" spans="1:25" ht="36" customHeight="1" x14ac:dyDescent="0.3">
      <c r="A457" s="142" t="s">
        <v>505</v>
      </c>
      <c r="B457" s="143">
        <v>42307</v>
      </c>
      <c r="C457" s="256">
        <v>64199</v>
      </c>
      <c r="G457">
        <v>14</v>
      </c>
      <c r="H457">
        <v>0</v>
      </c>
      <c r="I457">
        <v>0</v>
      </c>
      <c r="J457">
        <v>0</v>
      </c>
      <c r="K457">
        <v>0</v>
      </c>
      <c r="L457" s="92">
        <v>1</v>
      </c>
      <c r="M457" s="267" t="s">
        <v>617</v>
      </c>
      <c r="N457" s="268"/>
      <c r="O457" s="268"/>
      <c r="P457" s="268"/>
      <c r="Q457" s="268"/>
      <c r="R457" s="268"/>
      <c r="S457" s="268"/>
      <c r="T457" s="268"/>
      <c r="U457" s="268"/>
      <c r="V457" s="269"/>
      <c r="W457" s="198" t="s">
        <v>289</v>
      </c>
      <c r="X457" s="93">
        <v>42307</v>
      </c>
      <c r="Y457" t="s">
        <v>132</v>
      </c>
    </row>
    <row r="458" spans="1:25" ht="36" customHeight="1" x14ac:dyDescent="0.3">
      <c r="A458" s="142" t="s">
        <v>559</v>
      </c>
      <c r="B458" s="143">
        <v>42307</v>
      </c>
      <c r="C458" s="256">
        <v>14846</v>
      </c>
      <c r="G458">
        <v>14</v>
      </c>
      <c r="H458">
        <v>0</v>
      </c>
      <c r="I458">
        <v>0</v>
      </c>
      <c r="J458">
        <v>0</v>
      </c>
      <c r="K458">
        <v>0</v>
      </c>
      <c r="L458" s="92">
        <v>1</v>
      </c>
      <c r="M458" s="267" t="s">
        <v>617</v>
      </c>
      <c r="N458" s="268"/>
      <c r="O458" s="268"/>
      <c r="P458" s="268"/>
      <c r="Q458" s="268"/>
      <c r="R458" s="268"/>
      <c r="S458" s="268"/>
      <c r="T458" s="268"/>
      <c r="U458" s="268"/>
      <c r="V458" s="269"/>
      <c r="W458" s="198" t="s">
        <v>289</v>
      </c>
      <c r="X458" s="93">
        <v>42307</v>
      </c>
      <c r="Y458" t="s">
        <v>132</v>
      </c>
    </row>
    <row r="459" spans="1:25" ht="36" customHeight="1" x14ac:dyDescent="0.3">
      <c r="A459" s="142" t="s">
        <v>571</v>
      </c>
      <c r="B459" s="143">
        <v>42307</v>
      </c>
      <c r="C459" s="256">
        <v>100024</v>
      </c>
      <c r="G459">
        <v>21</v>
      </c>
      <c r="H459">
        <v>2</v>
      </c>
      <c r="I459">
        <v>0</v>
      </c>
      <c r="J459">
        <v>0</v>
      </c>
      <c r="K459">
        <v>2</v>
      </c>
      <c r="L459" s="92">
        <v>0.91304347826086951</v>
      </c>
      <c r="M459" s="267" t="s">
        <v>612</v>
      </c>
      <c r="N459" s="268"/>
      <c r="O459" s="268"/>
      <c r="P459" s="268"/>
      <c r="Q459" s="268"/>
      <c r="R459" s="268"/>
      <c r="S459" s="268"/>
      <c r="T459" s="268"/>
      <c r="U459" s="268"/>
      <c r="V459" s="269"/>
      <c r="W459" s="198" t="s">
        <v>289</v>
      </c>
      <c r="X459" s="93">
        <v>42307</v>
      </c>
      <c r="Y459" t="s">
        <v>132</v>
      </c>
    </row>
    <row r="460" spans="1:25" s="80" customFormat="1" ht="36" customHeight="1" thickBot="1" x14ac:dyDescent="0.35">
      <c r="A460" s="250" t="s">
        <v>156</v>
      </c>
      <c r="B460" s="208">
        <v>42307</v>
      </c>
      <c r="C460" s="262">
        <v>252081</v>
      </c>
      <c r="G460" s="80">
        <v>29</v>
      </c>
      <c r="H460" s="80">
        <v>0</v>
      </c>
      <c r="I460" s="80">
        <v>0</v>
      </c>
      <c r="J460" s="80">
        <v>0</v>
      </c>
      <c r="K460" s="80">
        <v>0</v>
      </c>
      <c r="L460" s="81">
        <v>1</v>
      </c>
      <c r="M460" s="286" t="s">
        <v>618</v>
      </c>
      <c r="N460" s="287"/>
      <c r="O460" s="287"/>
      <c r="P460" s="287"/>
      <c r="Q460" s="287"/>
      <c r="R460" s="287"/>
      <c r="S460" s="287"/>
      <c r="T460" s="287"/>
      <c r="U460" s="287"/>
      <c r="V460" s="288"/>
      <c r="W460" s="211" t="s">
        <v>289</v>
      </c>
      <c r="X460" s="82">
        <v>42307</v>
      </c>
      <c r="Y460" s="80" t="s">
        <v>132</v>
      </c>
    </row>
    <row r="461" spans="1:25" ht="36" customHeight="1" x14ac:dyDescent="0.3">
      <c r="A461" s="142" t="s">
        <v>172</v>
      </c>
      <c r="B461" s="143">
        <v>42319</v>
      </c>
      <c r="C461" s="256">
        <v>20210</v>
      </c>
      <c r="G461">
        <v>15</v>
      </c>
      <c r="H461">
        <v>1</v>
      </c>
      <c r="I461">
        <v>0</v>
      </c>
      <c r="J461">
        <v>0</v>
      </c>
      <c r="K461">
        <v>1</v>
      </c>
      <c r="L461" s="92">
        <v>0</v>
      </c>
      <c r="M461" s="267" t="s">
        <v>621</v>
      </c>
      <c r="N461" s="268"/>
      <c r="O461" s="268"/>
      <c r="P461" s="268"/>
      <c r="Q461" s="268"/>
      <c r="R461" s="268"/>
      <c r="S461" s="268"/>
      <c r="T461" s="268"/>
      <c r="U461" s="268"/>
      <c r="V461" s="269"/>
      <c r="W461" s="204" t="s">
        <v>289</v>
      </c>
      <c r="X461" s="93">
        <v>42319</v>
      </c>
      <c r="Y461" t="s">
        <v>619</v>
      </c>
    </row>
    <row r="462" spans="1:25" ht="36" customHeight="1" x14ac:dyDescent="0.3">
      <c r="A462" s="142" t="s">
        <v>549</v>
      </c>
      <c r="B462" s="143">
        <v>42319</v>
      </c>
      <c r="C462" s="256">
        <v>202360</v>
      </c>
      <c r="G462">
        <v>21</v>
      </c>
      <c r="H462">
        <v>1</v>
      </c>
      <c r="I462">
        <v>0</v>
      </c>
      <c r="J462">
        <v>0</v>
      </c>
      <c r="K462">
        <v>1</v>
      </c>
      <c r="L462" s="92">
        <v>1</v>
      </c>
      <c r="M462" s="267" t="s">
        <v>620</v>
      </c>
      <c r="N462" s="268"/>
      <c r="O462" s="268"/>
      <c r="P462" s="268"/>
      <c r="Q462" s="268"/>
      <c r="R462" s="268"/>
      <c r="S462" s="268"/>
      <c r="T462" s="268"/>
      <c r="U462" s="268"/>
      <c r="V462" s="269"/>
      <c r="W462" s="198" t="s">
        <v>289</v>
      </c>
      <c r="X462" s="93">
        <v>42319</v>
      </c>
      <c r="Y462" t="s">
        <v>619</v>
      </c>
    </row>
    <row r="463" spans="1:25" ht="36" customHeight="1" x14ac:dyDescent="0.3">
      <c r="A463" s="142" t="s">
        <v>505</v>
      </c>
      <c r="B463" s="143">
        <v>42319</v>
      </c>
      <c r="C463" s="256">
        <v>253083</v>
      </c>
      <c r="G463">
        <v>22</v>
      </c>
      <c r="H463">
        <v>0</v>
      </c>
      <c r="I463">
        <v>0</v>
      </c>
      <c r="J463">
        <v>0</v>
      </c>
      <c r="K463">
        <v>0</v>
      </c>
      <c r="L463" s="92">
        <v>1</v>
      </c>
      <c r="M463" s="267" t="s">
        <v>622</v>
      </c>
      <c r="N463" s="268"/>
      <c r="O463" s="268"/>
      <c r="P463" s="268"/>
      <c r="Q463" s="268"/>
      <c r="R463" s="268"/>
      <c r="S463" s="268"/>
      <c r="T463" s="268"/>
      <c r="U463" s="268"/>
      <c r="V463" s="269"/>
      <c r="W463" s="198" t="s">
        <v>289</v>
      </c>
      <c r="X463" s="93">
        <v>42319</v>
      </c>
      <c r="Y463" t="s">
        <v>619</v>
      </c>
    </row>
    <row r="464" spans="1:25" ht="36" customHeight="1" x14ac:dyDescent="0.3">
      <c r="A464" s="142" t="s">
        <v>223</v>
      </c>
      <c r="B464" s="143">
        <v>42319</v>
      </c>
      <c r="C464" s="256">
        <v>42182</v>
      </c>
      <c r="G464">
        <v>20</v>
      </c>
      <c r="H464">
        <v>1</v>
      </c>
      <c r="I464">
        <v>0</v>
      </c>
      <c r="J464">
        <v>0</v>
      </c>
      <c r="K464">
        <v>0</v>
      </c>
      <c r="L464" s="92">
        <v>0.95</v>
      </c>
      <c r="M464" s="267" t="s">
        <v>623</v>
      </c>
      <c r="N464" s="268"/>
      <c r="O464" s="268"/>
      <c r="P464" s="268"/>
      <c r="Q464" s="268"/>
      <c r="R464" s="268"/>
      <c r="S464" s="268"/>
      <c r="T464" s="268"/>
      <c r="U464" s="268"/>
      <c r="V464" s="269"/>
      <c r="W464" s="198" t="s">
        <v>289</v>
      </c>
      <c r="X464" s="93">
        <v>42319</v>
      </c>
      <c r="Y464" t="s">
        <v>619</v>
      </c>
    </row>
    <row r="465" spans="1:25" ht="36" customHeight="1" x14ac:dyDescent="0.3">
      <c r="A465" s="142" t="s">
        <v>412</v>
      </c>
      <c r="B465" s="143">
        <v>42319</v>
      </c>
      <c r="C465" s="256">
        <v>164661</v>
      </c>
      <c r="G465">
        <v>21</v>
      </c>
      <c r="H465">
        <v>0</v>
      </c>
      <c r="I465">
        <v>0</v>
      </c>
      <c r="J465">
        <v>0</v>
      </c>
      <c r="K465">
        <v>0</v>
      </c>
      <c r="L465" s="92">
        <v>1</v>
      </c>
      <c r="M465" s="267" t="s">
        <v>624</v>
      </c>
      <c r="N465" s="268"/>
      <c r="O465" s="268"/>
      <c r="P465" s="268"/>
      <c r="Q465" s="268"/>
      <c r="R465" s="268"/>
      <c r="S465" s="268"/>
      <c r="T465" s="268"/>
      <c r="U465" s="268"/>
      <c r="V465" s="269"/>
      <c r="W465" s="198" t="s">
        <v>289</v>
      </c>
      <c r="X465" s="93">
        <v>42319</v>
      </c>
      <c r="Y465" t="s">
        <v>619</v>
      </c>
    </row>
    <row r="466" spans="1:25" ht="36" customHeight="1" x14ac:dyDescent="0.3">
      <c r="A466" s="142" t="s">
        <v>379</v>
      </c>
      <c r="B466" s="143">
        <v>42321</v>
      </c>
      <c r="C466" s="256">
        <v>36705</v>
      </c>
      <c r="G466">
        <v>15</v>
      </c>
      <c r="H466">
        <v>4</v>
      </c>
      <c r="I466">
        <v>0</v>
      </c>
      <c r="J466">
        <v>0</v>
      </c>
      <c r="K466">
        <v>4</v>
      </c>
      <c r="L466" s="92">
        <v>0.88</v>
      </c>
      <c r="M466" s="267" t="s">
        <v>625</v>
      </c>
      <c r="N466" s="268"/>
      <c r="O466" s="268"/>
      <c r="P466" s="268"/>
      <c r="Q466" s="268"/>
      <c r="R466" s="268"/>
      <c r="S466" s="268"/>
      <c r="T466" s="268"/>
      <c r="U466" s="268"/>
      <c r="V466" s="269"/>
      <c r="W466" s="198" t="s">
        <v>289</v>
      </c>
      <c r="X466" s="93">
        <v>42321</v>
      </c>
      <c r="Y466" t="s">
        <v>619</v>
      </c>
    </row>
    <row r="467" spans="1:25" ht="36" customHeight="1" x14ac:dyDescent="0.3">
      <c r="A467" s="142" t="s">
        <v>626</v>
      </c>
      <c r="B467" s="143">
        <v>42321</v>
      </c>
      <c r="C467" s="256">
        <v>143947</v>
      </c>
      <c r="G467">
        <v>20</v>
      </c>
      <c r="H467">
        <v>0</v>
      </c>
      <c r="I467">
        <v>0</v>
      </c>
      <c r="J467">
        <v>0</v>
      </c>
      <c r="K467">
        <v>0</v>
      </c>
      <c r="L467" s="92">
        <v>1</v>
      </c>
      <c r="M467" s="267" t="s">
        <v>627</v>
      </c>
      <c r="N467" s="268"/>
      <c r="O467" s="268"/>
      <c r="P467" s="268"/>
      <c r="Q467" s="268"/>
      <c r="R467" s="268"/>
      <c r="S467" s="268"/>
      <c r="T467" s="268"/>
      <c r="U467" s="268"/>
      <c r="V467" s="269"/>
      <c r="W467" s="198" t="s">
        <v>289</v>
      </c>
      <c r="X467" s="93">
        <v>42321</v>
      </c>
      <c r="Y467" t="s">
        <v>619</v>
      </c>
    </row>
    <row r="468" spans="1:25" ht="36" customHeight="1" x14ac:dyDescent="0.3">
      <c r="A468" s="142" t="s">
        <v>210</v>
      </c>
      <c r="B468" s="143">
        <v>42321</v>
      </c>
      <c r="C468" s="256">
        <v>111261</v>
      </c>
      <c r="G468">
        <v>14</v>
      </c>
      <c r="H468">
        <v>7</v>
      </c>
      <c r="I468">
        <v>0</v>
      </c>
      <c r="J468">
        <v>0</v>
      </c>
      <c r="K468">
        <v>7</v>
      </c>
      <c r="L468" s="92">
        <v>0.78</v>
      </c>
      <c r="M468" s="267" t="s">
        <v>628</v>
      </c>
      <c r="N468" s="268"/>
      <c r="O468" s="268"/>
      <c r="P468" s="268"/>
      <c r="Q468" s="268"/>
      <c r="R468" s="268"/>
      <c r="S468" s="268"/>
      <c r="T468" s="268"/>
      <c r="U468" s="268"/>
      <c r="V468" s="269"/>
      <c r="W468" s="198" t="s">
        <v>289</v>
      </c>
      <c r="X468" s="93">
        <v>42321</v>
      </c>
      <c r="Y468" t="s">
        <v>619</v>
      </c>
    </row>
    <row r="469" spans="1:25" ht="36" customHeight="1" x14ac:dyDescent="0.3">
      <c r="A469" s="142" t="s">
        <v>379</v>
      </c>
      <c r="B469" s="143">
        <v>42321</v>
      </c>
      <c r="C469" s="256">
        <v>6891</v>
      </c>
      <c r="G469">
        <v>12</v>
      </c>
      <c r="H469">
        <v>0</v>
      </c>
      <c r="I469">
        <v>0</v>
      </c>
      <c r="J469">
        <v>0</v>
      </c>
      <c r="K469">
        <v>0</v>
      </c>
      <c r="L469" s="92">
        <v>1</v>
      </c>
      <c r="M469" s="267" t="s">
        <v>629</v>
      </c>
      <c r="N469" s="268"/>
      <c r="O469" s="268"/>
      <c r="P469" s="268"/>
      <c r="Q469" s="268"/>
      <c r="R469" s="268"/>
      <c r="S469" s="268"/>
      <c r="T469" s="268"/>
      <c r="U469" s="268"/>
      <c r="V469" s="269"/>
      <c r="W469" s="198" t="s">
        <v>289</v>
      </c>
      <c r="X469" s="93">
        <v>42321</v>
      </c>
      <c r="Y469" t="s">
        <v>138</v>
      </c>
    </row>
    <row r="470" spans="1:25" ht="36" customHeight="1" x14ac:dyDescent="0.3">
      <c r="A470" s="142" t="s">
        <v>210</v>
      </c>
      <c r="B470" s="143">
        <v>42321</v>
      </c>
      <c r="C470" s="256">
        <v>82276</v>
      </c>
      <c r="G470">
        <v>11</v>
      </c>
      <c r="H470">
        <v>0</v>
      </c>
      <c r="I470">
        <v>0</v>
      </c>
      <c r="J470">
        <v>0</v>
      </c>
      <c r="K470">
        <v>0</v>
      </c>
      <c r="L470" s="92">
        <v>1</v>
      </c>
      <c r="M470" s="267" t="s">
        <v>630</v>
      </c>
      <c r="N470" s="268"/>
      <c r="O470" s="268"/>
      <c r="P470" s="268"/>
      <c r="Q470" s="268"/>
      <c r="R470" s="268"/>
      <c r="S470" s="268"/>
      <c r="T470" s="268"/>
      <c r="U470" s="268"/>
      <c r="V470" s="269"/>
      <c r="W470" s="198" t="s">
        <v>289</v>
      </c>
      <c r="X470" s="93">
        <v>42321</v>
      </c>
      <c r="Y470" t="s">
        <v>138</v>
      </c>
    </row>
    <row r="471" spans="1:25" ht="36" customHeight="1" x14ac:dyDescent="0.3">
      <c r="A471" s="142" t="s">
        <v>631</v>
      </c>
      <c r="B471" s="143">
        <v>42321</v>
      </c>
      <c r="C471" s="256">
        <v>10669</v>
      </c>
      <c r="G471">
        <v>11</v>
      </c>
      <c r="H471">
        <v>0</v>
      </c>
      <c r="I471">
        <v>0</v>
      </c>
      <c r="J471">
        <v>0</v>
      </c>
      <c r="K471">
        <v>0</v>
      </c>
      <c r="L471" s="92">
        <v>1</v>
      </c>
      <c r="M471" s="267" t="s">
        <v>632</v>
      </c>
      <c r="N471" s="268"/>
      <c r="O471" s="268"/>
      <c r="P471" s="268"/>
      <c r="Q471" s="268"/>
      <c r="R471" s="268"/>
      <c r="S471" s="268"/>
      <c r="T471" s="268"/>
      <c r="U471" s="268"/>
      <c r="V471" s="269"/>
      <c r="W471" s="198" t="s">
        <v>289</v>
      </c>
      <c r="X471" s="93">
        <v>42321</v>
      </c>
      <c r="Y471" t="s">
        <v>138</v>
      </c>
    </row>
    <row r="472" spans="1:25" ht="36" customHeight="1" x14ac:dyDescent="0.3">
      <c r="A472" s="142" t="s">
        <v>505</v>
      </c>
      <c r="B472" s="143">
        <v>42321</v>
      </c>
      <c r="C472" s="256">
        <v>139956</v>
      </c>
      <c r="G472">
        <v>10</v>
      </c>
      <c r="H472">
        <v>1</v>
      </c>
      <c r="I472">
        <v>0</v>
      </c>
      <c r="J472">
        <v>0</v>
      </c>
      <c r="K472">
        <v>1</v>
      </c>
      <c r="L472" s="92">
        <v>0.92</v>
      </c>
      <c r="M472" s="267" t="s">
        <v>633</v>
      </c>
      <c r="N472" s="268"/>
      <c r="O472" s="268"/>
      <c r="P472" s="268"/>
      <c r="Q472" s="268"/>
      <c r="R472" s="268"/>
      <c r="S472" s="268"/>
      <c r="T472" s="268"/>
      <c r="U472" s="268"/>
      <c r="V472" s="269"/>
      <c r="W472" s="198" t="s">
        <v>289</v>
      </c>
      <c r="X472" s="93">
        <v>42321</v>
      </c>
      <c r="Y472" t="s">
        <v>138</v>
      </c>
    </row>
    <row r="473" spans="1:25" ht="36" customHeight="1" x14ac:dyDescent="0.3">
      <c r="A473" s="142" t="s">
        <v>634</v>
      </c>
      <c r="B473" s="143">
        <v>42321</v>
      </c>
      <c r="C473" s="256">
        <v>53955</v>
      </c>
      <c r="G473">
        <v>9</v>
      </c>
      <c r="H473">
        <v>0</v>
      </c>
      <c r="I473">
        <v>0</v>
      </c>
      <c r="J473">
        <v>0</v>
      </c>
      <c r="K473">
        <v>0</v>
      </c>
      <c r="L473" s="92">
        <v>1</v>
      </c>
      <c r="M473" s="267" t="s">
        <v>635</v>
      </c>
      <c r="N473" s="268"/>
      <c r="O473" s="268"/>
      <c r="P473" s="268"/>
      <c r="Q473" s="268"/>
      <c r="R473" s="268"/>
      <c r="S473" s="268"/>
      <c r="T473" s="268"/>
      <c r="U473" s="268"/>
      <c r="V473" s="269"/>
      <c r="W473" s="198" t="s">
        <v>289</v>
      </c>
      <c r="X473" s="93">
        <v>42321</v>
      </c>
      <c r="Y473" t="s">
        <v>138</v>
      </c>
    </row>
    <row r="474" spans="1:25" ht="36" customHeight="1" x14ac:dyDescent="0.3">
      <c r="A474" s="142" t="s">
        <v>636</v>
      </c>
      <c r="B474" s="143">
        <v>42321</v>
      </c>
      <c r="C474" s="256">
        <v>194820</v>
      </c>
      <c r="G474">
        <v>12</v>
      </c>
      <c r="H474">
        <v>0</v>
      </c>
      <c r="I474">
        <v>0</v>
      </c>
      <c r="J474">
        <v>0</v>
      </c>
      <c r="K474">
        <v>0</v>
      </c>
      <c r="L474" s="92">
        <v>1</v>
      </c>
      <c r="M474" s="267" t="s">
        <v>637</v>
      </c>
      <c r="N474" s="268"/>
      <c r="O474" s="268"/>
      <c r="P474" s="268"/>
      <c r="Q474" s="268"/>
      <c r="R474" s="268"/>
      <c r="S474" s="268"/>
      <c r="T474" s="268"/>
      <c r="U474" s="268"/>
      <c r="V474" s="269"/>
      <c r="W474" s="198" t="s">
        <v>289</v>
      </c>
      <c r="X474" s="93">
        <v>42321</v>
      </c>
      <c r="Y474" t="s">
        <v>138</v>
      </c>
    </row>
    <row r="475" spans="1:25" s="80" customFormat="1" ht="36" customHeight="1" thickBot="1" x14ac:dyDescent="0.35">
      <c r="A475" s="250" t="s">
        <v>223</v>
      </c>
      <c r="B475" s="208">
        <v>42321</v>
      </c>
      <c r="C475" s="262">
        <v>147783</v>
      </c>
      <c r="G475" s="80">
        <v>15</v>
      </c>
      <c r="H475" s="80">
        <v>0</v>
      </c>
      <c r="I475" s="80">
        <v>0</v>
      </c>
      <c r="J475" s="80">
        <v>0</v>
      </c>
      <c r="K475" s="80">
        <v>0</v>
      </c>
      <c r="L475" s="81">
        <v>1</v>
      </c>
      <c r="M475" s="286" t="s">
        <v>638</v>
      </c>
      <c r="N475" s="287"/>
      <c r="O475" s="287"/>
      <c r="P475" s="287"/>
      <c r="Q475" s="287"/>
      <c r="R475" s="287"/>
      <c r="S475" s="287"/>
      <c r="T475" s="287"/>
      <c r="U475" s="287"/>
      <c r="V475" s="288"/>
      <c r="W475" s="211" t="s">
        <v>289</v>
      </c>
      <c r="X475" s="82">
        <v>42321</v>
      </c>
      <c r="Y475" s="80" t="s">
        <v>138</v>
      </c>
    </row>
    <row r="476" spans="1:25" ht="36" customHeight="1" x14ac:dyDescent="0.3">
      <c r="A476" s="142" t="s">
        <v>223</v>
      </c>
      <c r="B476" s="143">
        <v>42325</v>
      </c>
      <c r="C476" s="256">
        <v>101642</v>
      </c>
      <c r="G476">
        <v>29</v>
      </c>
      <c r="H476">
        <v>0</v>
      </c>
      <c r="I476">
        <v>0</v>
      </c>
      <c r="J476">
        <v>0</v>
      </c>
      <c r="K476">
        <v>0</v>
      </c>
      <c r="L476" s="92">
        <v>1</v>
      </c>
      <c r="M476" s="267" t="s">
        <v>644</v>
      </c>
      <c r="N476" s="268"/>
      <c r="O476" s="268"/>
      <c r="P476" s="268"/>
      <c r="Q476" s="268"/>
      <c r="R476" s="268"/>
      <c r="S476" s="268"/>
      <c r="T476" s="268"/>
      <c r="U476" s="268"/>
      <c r="V476" s="269"/>
      <c r="W476" s="204" t="s">
        <v>289</v>
      </c>
      <c r="X476" s="93">
        <v>42325</v>
      </c>
      <c r="Y476" t="s">
        <v>619</v>
      </c>
    </row>
    <row r="477" spans="1:25" ht="36" customHeight="1" x14ac:dyDescent="0.3">
      <c r="A477" s="142" t="s">
        <v>645</v>
      </c>
      <c r="B477" s="143">
        <v>42325</v>
      </c>
      <c r="C477" s="256">
        <v>51468</v>
      </c>
      <c r="G477">
        <v>18</v>
      </c>
      <c r="H477">
        <v>0</v>
      </c>
      <c r="I477">
        <v>0</v>
      </c>
      <c r="J477">
        <v>0</v>
      </c>
      <c r="K477">
        <v>0</v>
      </c>
      <c r="L477" s="92">
        <v>1</v>
      </c>
      <c r="M477" s="267" t="s">
        <v>646</v>
      </c>
      <c r="N477" s="268"/>
      <c r="O477" s="268"/>
      <c r="P477" s="268"/>
      <c r="Q477" s="268"/>
      <c r="R477" s="268"/>
      <c r="S477" s="268"/>
      <c r="T477" s="268"/>
      <c r="U477" s="268"/>
      <c r="V477" s="269"/>
      <c r="W477" s="198" t="s">
        <v>289</v>
      </c>
      <c r="X477" s="93">
        <v>42325</v>
      </c>
      <c r="Y477" t="s">
        <v>619</v>
      </c>
    </row>
    <row r="478" spans="1:25" ht="36" customHeight="1" x14ac:dyDescent="0.3">
      <c r="A478" s="142" t="s">
        <v>626</v>
      </c>
      <c r="B478" s="143">
        <v>42325</v>
      </c>
      <c r="C478" s="256">
        <v>10669</v>
      </c>
      <c r="G478">
        <v>17</v>
      </c>
      <c r="H478">
        <v>0</v>
      </c>
      <c r="I478">
        <v>0</v>
      </c>
      <c r="J478">
        <v>0</v>
      </c>
      <c r="K478">
        <v>0</v>
      </c>
      <c r="L478" s="92">
        <v>1</v>
      </c>
      <c r="M478" s="267" t="s">
        <v>647</v>
      </c>
      <c r="N478" s="268"/>
      <c r="O478" s="268"/>
      <c r="P478" s="268"/>
      <c r="Q478" s="268"/>
      <c r="R478" s="268"/>
      <c r="S478" s="268"/>
      <c r="T478" s="268"/>
      <c r="U478" s="268"/>
      <c r="V478" s="269"/>
      <c r="W478" s="198" t="s">
        <v>289</v>
      </c>
      <c r="X478" s="93">
        <v>42325</v>
      </c>
      <c r="Y478" t="s">
        <v>619</v>
      </c>
    </row>
    <row r="479" spans="1:25" ht="36" customHeight="1" x14ac:dyDescent="0.3">
      <c r="A479" s="142" t="s">
        <v>172</v>
      </c>
      <c r="B479" s="143">
        <v>42325</v>
      </c>
      <c r="C479" s="256">
        <v>22644</v>
      </c>
      <c r="G479">
        <v>18</v>
      </c>
      <c r="H479">
        <v>0</v>
      </c>
      <c r="I479">
        <v>0</v>
      </c>
      <c r="J479">
        <v>0</v>
      </c>
      <c r="K479">
        <v>0</v>
      </c>
      <c r="L479" s="92">
        <v>1</v>
      </c>
      <c r="M479" s="267" t="s">
        <v>648</v>
      </c>
      <c r="N479" s="268"/>
      <c r="O479" s="268"/>
      <c r="P479" s="268"/>
      <c r="Q479" s="268"/>
      <c r="R479" s="268"/>
      <c r="S479" s="268"/>
      <c r="T479" s="268"/>
      <c r="U479" s="268"/>
      <c r="V479" s="269"/>
      <c r="W479" s="198" t="s">
        <v>289</v>
      </c>
      <c r="X479" s="93">
        <v>42325</v>
      </c>
      <c r="Y479" t="s">
        <v>619</v>
      </c>
    </row>
    <row r="480" spans="1:25" ht="36" customHeight="1" x14ac:dyDescent="0.3">
      <c r="A480" s="142" t="s">
        <v>549</v>
      </c>
      <c r="B480" s="143">
        <v>42325</v>
      </c>
      <c r="C480" s="256">
        <v>324273</v>
      </c>
      <c r="G480">
        <v>25</v>
      </c>
      <c r="H480">
        <v>4</v>
      </c>
      <c r="I480">
        <v>0</v>
      </c>
      <c r="J480">
        <v>0</v>
      </c>
      <c r="K480">
        <v>4</v>
      </c>
      <c r="L480" s="92">
        <v>0.86206896551724133</v>
      </c>
      <c r="M480" s="267" t="s">
        <v>649</v>
      </c>
      <c r="N480" s="268"/>
      <c r="O480" s="268"/>
      <c r="P480" s="268"/>
      <c r="Q480" s="268"/>
      <c r="R480" s="268"/>
      <c r="S480" s="268"/>
      <c r="T480" s="268"/>
      <c r="U480" s="268"/>
      <c r="V480" s="269"/>
      <c r="W480" s="198" t="s">
        <v>289</v>
      </c>
      <c r="X480" s="93">
        <v>42325</v>
      </c>
      <c r="Y480" t="s">
        <v>619</v>
      </c>
    </row>
    <row r="481" spans="1:25" ht="36" customHeight="1" x14ac:dyDescent="0.3">
      <c r="A481" s="142" t="s">
        <v>210</v>
      </c>
      <c r="B481" s="143">
        <v>42325</v>
      </c>
      <c r="C481" s="256">
        <v>320458</v>
      </c>
      <c r="G481">
        <v>14</v>
      </c>
      <c r="H481">
        <v>2</v>
      </c>
      <c r="I481">
        <v>0</v>
      </c>
      <c r="J481">
        <v>0</v>
      </c>
      <c r="K481">
        <v>2</v>
      </c>
      <c r="L481" s="92">
        <v>0.875</v>
      </c>
      <c r="M481" s="267" t="s">
        <v>650</v>
      </c>
      <c r="N481" s="268"/>
      <c r="O481" s="268"/>
      <c r="P481" s="268"/>
      <c r="Q481" s="268"/>
      <c r="R481" s="268"/>
      <c r="S481" s="268"/>
      <c r="T481" s="268"/>
      <c r="U481" s="268"/>
      <c r="V481" s="269"/>
      <c r="W481" s="198" t="s">
        <v>289</v>
      </c>
      <c r="X481" s="93">
        <v>42325</v>
      </c>
      <c r="Y481" t="s">
        <v>619</v>
      </c>
    </row>
    <row r="482" spans="1:25" ht="36" customHeight="1" x14ac:dyDescent="0.3">
      <c r="A482" s="142" t="s">
        <v>379</v>
      </c>
      <c r="B482" s="143">
        <v>42327</v>
      </c>
      <c r="C482" s="256">
        <v>14531</v>
      </c>
      <c r="G482">
        <v>12</v>
      </c>
      <c r="H482">
        <v>4</v>
      </c>
      <c r="I482">
        <v>0</v>
      </c>
      <c r="J482">
        <v>0</v>
      </c>
      <c r="K482">
        <v>4</v>
      </c>
      <c r="L482" s="92">
        <v>0.75</v>
      </c>
      <c r="M482" s="267" t="s">
        <v>651</v>
      </c>
      <c r="N482" s="268"/>
      <c r="O482" s="268"/>
      <c r="P482" s="268"/>
      <c r="Q482" s="268"/>
      <c r="R482" s="268"/>
      <c r="S482" s="268"/>
      <c r="T482" s="268"/>
      <c r="U482" s="268"/>
      <c r="V482" s="269"/>
      <c r="W482" s="198" t="s">
        <v>289</v>
      </c>
      <c r="X482" s="93">
        <v>42327</v>
      </c>
      <c r="Y482" t="s">
        <v>619</v>
      </c>
    </row>
    <row r="483" spans="1:25" ht="36" customHeight="1" x14ac:dyDescent="0.3">
      <c r="A483" s="142" t="s">
        <v>549</v>
      </c>
      <c r="B483" s="143">
        <v>42327</v>
      </c>
      <c r="C483" s="256">
        <v>282342</v>
      </c>
      <c r="G483">
        <v>17</v>
      </c>
      <c r="H483">
        <v>0</v>
      </c>
      <c r="I483">
        <v>0</v>
      </c>
      <c r="J483">
        <v>0</v>
      </c>
      <c r="K483">
        <v>0</v>
      </c>
      <c r="L483" s="92">
        <v>1</v>
      </c>
      <c r="M483" s="267" t="s">
        <v>652</v>
      </c>
      <c r="N483" s="268"/>
      <c r="O483" s="268"/>
      <c r="P483" s="268"/>
      <c r="Q483" s="268"/>
      <c r="R483" s="268"/>
      <c r="S483" s="268"/>
      <c r="T483" s="268"/>
      <c r="U483" s="268"/>
      <c r="V483" s="269"/>
      <c r="W483" s="198" t="s">
        <v>289</v>
      </c>
      <c r="X483" s="93">
        <v>42327</v>
      </c>
      <c r="Y483" t="s">
        <v>619</v>
      </c>
    </row>
    <row r="484" spans="1:25" ht="36" customHeight="1" x14ac:dyDescent="0.3">
      <c r="A484" s="142" t="s">
        <v>412</v>
      </c>
      <c r="B484" s="143">
        <v>42327</v>
      </c>
      <c r="C484" s="256">
        <v>147716</v>
      </c>
      <c r="G484">
        <v>28</v>
      </c>
      <c r="H484">
        <v>2</v>
      </c>
      <c r="I484">
        <v>0</v>
      </c>
      <c r="J484">
        <v>0</v>
      </c>
      <c r="K484">
        <v>2</v>
      </c>
      <c r="L484" s="92">
        <v>0.93333333333333335</v>
      </c>
      <c r="M484" s="267" t="s">
        <v>653</v>
      </c>
      <c r="N484" s="268"/>
      <c r="O484" s="268"/>
      <c r="P484" s="268"/>
      <c r="Q484" s="268"/>
      <c r="R484" s="268"/>
      <c r="S484" s="268"/>
      <c r="T484" s="268"/>
      <c r="U484" s="268"/>
      <c r="V484" s="269"/>
      <c r="W484" s="198" t="s">
        <v>289</v>
      </c>
      <c r="X484" s="93">
        <v>42327</v>
      </c>
      <c r="Y484" t="s">
        <v>619</v>
      </c>
    </row>
    <row r="485" spans="1:25" ht="36" customHeight="1" x14ac:dyDescent="0.3">
      <c r="A485" s="142" t="s">
        <v>210</v>
      </c>
      <c r="B485" s="143">
        <v>42327</v>
      </c>
      <c r="C485" s="256">
        <v>127833</v>
      </c>
      <c r="G485">
        <v>19</v>
      </c>
      <c r="H485">
        <v>2</v>
      </c>
      <c r="I485">
        <v>0</v>
      </c>
      <c r="J485">
        <v>0</v>
      </c>
      <c r="K485">
        <v>2</v>
      </c>
      <c r="L485" s="92">
        <v>0.90476190476190477</v>
      </c>
      <c r="M485" s="267" t="s">
        <v>654</v>
      </c>
      <c r="N485" s="268"/>
      <c r="O485" s="268"/>
      <c r="P485" s="268"/>
      <c r="Q485" s="268"/>
      <c r="R485" s="268"/>
      <c r="S485" s="268"/>
      <c r="T485" s="268"/>
      <c r="U485" s="268"/>
      <c r="V485" s="269"/>
      <c r="W485" s="198" t="s">
        <v>289</v>
      </c>
      <c r="X485" s="93">
        <v>42327</v>
      </c>
      <c r="Y485" t="s">
        <v>619</v>
      </c>
    </row>
    <row r="486" spans="1:25" ht="36" customHeight="1" x14ac:dyDescent="0.3">
      <c r="A486" s="142" t="s">
        <v>645</v>
      </c>
      <c r="B486" s="143">
        <v>42327</v>
      </c>
      <c r="C486" s="256">
        <v>179878</v>
      </c>
      <c r="G486">
        <v>30</v>
      </c>
      <c r="H486">
        <v>1</v>
      </c>
      <c r="I486">
        <v>0</v>
      </c>
      <c r="J486">
        <v>0</v>
      </c>
      <c r="K486">
        <v>1</v>
      </c>
      <c r="L486" s="92">
        <v>0.967741935483871</v>
      </c>
      <c r="M486" s="267" t="s">
        <v>655</v>
      </c>
      <c r="N486" s="268"/>
      <c r="O486" s="268"/>
      <c r="P486" s="268"/>
      <c r="Q486" s="268"/>
      <c r="R486" s="268"/>
      <c r="S486" s="268"/>
      <c r="T486" s="268"/>
      <c r="U486" s="268"/>
      <c r="V486" s="269"/>
      <c r="W486" s="198" t="s">
        <v>289</v>
      </c>
      <c r="X486" s="93">
        <v>42327</v>
      </c>
      <c r="Y486" t="s">
        <v>619</v>
      </c>
    </row>
    <row r="487" spans="1:25" ht="36" customHeight="1" x14ac:dyDescent="0.3">
      <c r="A487" s="142" t="s">
        <v>223</v>
      </c>
      <c r="B487" s="143">
        <v>42328</v>
      </c>
      <c r="C487" s="256">
        <v>330992</v>
      </c>
      <c r="G487">
        <v>21</v>
      </c>
      <c r="H487">
        <v>0</v>
      </c>
      <c r="I487">
        <v>0</v>
      </c>
      <c r="J487">
        <v>0</v>
      </c>
      <c r="K487">
        <v>0</v>
      </c>
      <c r="L487" s="92">
        <v>1</v>
      </c>
      <c r="M487" s="267" t="s">
        <v>656</v>
      </c>
      <c r="N487" s="268"/>
      <c r="O487" s="268"/>
      <c r="P487" s="268"/>
      <c r="Q487" s="268"/>
      <c r="R487" s="268"/>
      <c r="S487" s="268"/>
      <c r="T487" s="268"/>
      <c r="U487" s="268"/>
      <c r="V487" s="269"/>
      <c r="W487" s="198" t="s">
        <v>289</v>
      </c>
      <c r="X487" s="93">
        <v>42328</v>
      </c>
      <c r="Y487" t="s">
        <v>619</v>
      </c>
    </row>
  </sheetData>
  <sheetProtection algorithmName="SHA-512" hashValue="x1wFvGdIjasUcPwE5pPsDUdvKA7qXhbi/mOxGVpzXV6HEK/4Tfae0o3i+N/UNHyuhW7zfpWCl0GV2YzgOO5rXw==" saltValue="iVl3plmSzeRTS1Jk+yqluw==" spinCount="100000" sheet="1" objects="1" scenarios="1"/>
  <protectedRanges>
    <protectedRange algorithmName="SHA-512" hashValue="dnZd2mNHPFii5FPcIuRrKYp+nLKvjS8CkX2Rt9FixfSYzaNf13pi+KBhtFWvhXVkxe9zXdYDXY0YvQCr0txGTw==" saltValue="2Eu7D1PpS9HPkLcWOcSlcA==" spinCount="100000" sqref="M32:V35 A1:Y23 A24:V31 M37:V145 D32:E271 W24:Y1048576 A32:C1048576 F32:L1048576 D274:E1048576 M147:V1048576" name="Range1"/>
  </protectedRanges>
  <customSheetViews>
    <customSheetView guid="{235E8A25-1CC1-4E7F-AA7E-38EA0DEEA9DB}" scale="60">
      <pane ySplit="1" topLeftCell="A77" activePane="bottomLeft" state="frozen"/>
      <selection pane="bottomLeft" activeCell="B89" sqref="B89"/>
      <pageMargins left="0.7" right="0.7" top="0.75" bottom="0.75" header="0.3" footer="0.3"/>
    </customSheetView>
    <customSheetView guid="{69240C63-12B7-470F-8204-BD04727BB980}" scale="60">
      <pane ySplit="1" topLeftCell="A2" activePane="bottomLeft" state="frozen"/>
      <selection pane="bottomLeft" activeCell="F103" sqref="F103"/>
      <pageMargins left="0.7" right="0.7" top="0.75" bottom="0.75" header="0.3" footer="0.3"/>
    </customSheetView>
  </customSheetViews>
  <mergeCells count="487">
    <mergeCell ref="M478:V478"/>
    <mergeCell ref="M479:V479"/>
    <mergeCell ref="M480:V480"/>
    <mergeCell ref="M475:V475"/>
    <mergeCell ref="M474:V474"/>
    <mergeCell ref="M466:V466"/>
    <mergeCell ref="M467:V467"/>
    <mergeCell ref="M468:V468"/>
    <mergeCell ref="M461:V461"/>
    <mergeCell ref="M462:V462"/>
    <mergeCell ref="M463:V463"/>
    <mergeCell ref="M464:V464"/>
    <mergeCell ref="M465:V465"/>
    <mergeCell ref="M391:V391"/>
    <mergeCell ref="M392:V392"/>
    <mergeCell ref="M449:V449"/>
    <mergeCell ref="M450:V450"/>
    <mergeCell ref="M451:V451"/>
    <mergeCell ref="M452:V452"/>
    <mergeCell ref="M453:V453"/>
    <mergeCell ref="M454:V454"/>
    <mergeCell ref="M455:V455"/>
    <mergeCell ref="M394:V394"/>
    <mergeCell ref="M395:V395"/>
    <mergeCell ref="M447:V447"/>
    <mergeCell ref="M448:V448"/>
    <mergeCell ref="M430:V430"/>
    <mergeCell ref="M431:V431"/>
    <mergeCell ref="M432:V432"/>
    <mergeCell ref="M426:V426"/>
    <mergeCell ref="M427:V427"/>
    <mergeCell ref="M428:V428"/>
    <mergeCell ref="M417:V417"/>
    <mergeCell ref="M418:V418"/>
    <mergeCell ref="M419:V419"/>
    <mergeCell ref="M420:V420"/>
    <mergeCell ref="M421:V421"/>
    <mergeCell ref="M382:V382"/>
    <mergeCell ref="M383:V383"/>
    <mergeCell ref="M384:V384"/>
    <mergeCell ref="M385:V385"/>
    <mergeCell ref="M386:V386"/>
    <mergeCell ref="M429:V429"/>
    <mergeCell ref="M387:V387"/>
    <mergeCell ref="M409:V409"/>
    <mergeCell ref="M410:V410"/>
    <mergeCell ref="M411:V411"/>
    <mergeCell ref="M412:V412"/>
    <mergeCell ref="M413:V413"/>
    <mergeCell ref="M414:V414"/>
    <mergeCell ref="M390:V390"/>
    <mergeCell ref="M396:V396"/>
    <mergeCell ref="M397:V397"/>
    <mergeCell ref="M398:V398"/>
    <mergeCell ref="M393:V393"/>
    <mergeCell ref="M423:V423"/>
    <mergeCell ref="M424:V424"/>
    <mergeCell ref="M425:V425"/>
    <mergeCell ref="M399:V399"/>
    <mergeCell ref="M415:V415"/>
    <mergeCell ref="M416:V416"/>
    <mergeCell ref="M366:V366"/>
    <mergeCell ref="M368:V368"/>
    <mergeCell ref="M369:V369"/>
    <mergeCell ref="M370:V370"/>
    <mergeCell ref="M371:V371"/>
    <mergeCell ref="M372:V372"/>
    <mergeCell ref="M379:V379"/>
    <mergeCell ref="M380:V380"/>
    <mergeCell ref="M381:V381"/>
    <mergeCell ref="M354:V354"/>
    <mergeCell ref="M358:V358"/>
    <mergeCell ref="M359:V359"/>
    <mergeCell ref="M360:V360"/>
    <mergeCell ref="M361:V361"/>
    <mergeCell ref="M362:V362"/>
    <mergeCell ref="M363:V363"/>
    <mergeCell ref="M364:V364"/>
    <mergeCell ref="M365:V365"/>
    <mergeCell ref="M340:V340"/>
    <mergeCell ref="M341:V341"/>
    <mergeCell ref="M330:V330"/>
    <mergeCell ref="M331:V331"/>
    <mergeCell ref="M332:V332"/>
    <mergeCell ref="M333:V333"/>
    <mergeCell ref="M334:V334"/>
    <mergeCell ref="M335:V335"/>
    <mergeCell ref="M336:V336"/>
    <mergeCell ref="M337:V337"/>
    <mergeCell ref="M339:V339"/>
    <mergeCell ref="M236:V236"/>
    <mergeCell ref="M237:V237"/>
    <mergeCell ref="M221:V221"/>
    <mergeCell ref="M222:V222"/>
    <mergeCell ref="M223:V223"/>
    <mergeCell ref="M220:V220"/>
    <mergeCell ref="M213:V213"/>
    <mergeCell ref="M214:V214"/>
    <mergeCell ref="M215:V215"/>
    <mergeCell ref="M216:V216"/>
    <mergeCell ref="M217:V217"/>
    <mergeCell ref="M218:V218"/>
    <mergeCell ref="M219:V219"/>
    <mergeCell ref="M233:V233"/>
    <mergeCell ref="M234:V234"/>
    <mergeCell ref="M235:V235"/>
    <mergeCell ref="M224:V224"/>
    <mergeCell ref="M225:V225"/>
    <mergeCell ref="M226:V226"/>
    <mergeCell ref="M227:V227"/>
    <mergeCell ref="M228:V228"/>
    <mergeCell ref="M229:V229"/>
    <mergeCell ref="M230:V230"/>
    <mergeCell ref="M231:V231"/>
    <mergeCell ref="M210:V210"/>
    <mergeCell ref="M211:V211"/>
    <mergeCell ref="M212:V212"/>
    <mergeCell ref="M205:V205"/>
    <mergeCell ref="M206:V206"/>
    <mergeCell ref="M207:V207"/>
    <mergeCell ref="M208:V208"/>
    <mergeCell ref="M209:V209"/>
    <mergeCell ref="M204:V204"/>
    <mergeCell ref="M163:V163"/>
    <mergeCell ref="M164:V164"/>
    <mergeCell ref="M165:V165"/>
    <mergeCell ref="M166:V166"/>
    <mergeCell ref="M167:V167"/>
    <mergeCell ref="M168:V168"/>
    <mergeCell ref="M169:V169"/>
    <mergeCell ref="M170:V170"/>
    <mergeCell ref="M171:V171"/>
    <mergeCell ref="M172:V172"/>
    <mergeCell ref="M173:V173"/>
    <mergeCell ref="M174:V174"/>
    <mergeCell ref="M175:V175"/>
    <mergeCell ref="M176:V176"/>
    <mergeCell ref="M177:V177"/>
    <mergeCell ref="M178:V178"/>
    <mergeCell ref="M179:V179"/>
    <mergeCell ref="M180:V180"/>
    <mergeCell ref="M162:V162"/>
    <mergeCell ref="M153:V153"/>
    <mergeCell ref="M154:V154"/>
    <mergeCell ref="M155:V155"/>
    <mergeCell ref="M156:V156"/>
    <mergeCell ref="M157:V157"/>
    <mergeCell ref="M158:V158"/>
    <mergeCell ref="M159:V159"/>
    <mergeCell ref="M160:V160"/>
    <mergeCell ref="M161:V161"/>
    <mergeCell ref="M149:V149"/>
    <mergeCell ref="M150:V150"/>
    <mergeCell ref="M151:V151"/>
    <mergeCell ref="M152:V152"/>
    <mergeCell ref="M106:V106"/>
    <mergeCell ref="M107:V107"/>
    <mergeCell ref="M108:V108"/>
    <mergeCell ref="M109:V109"/>
    <mergeCell ref="M110:V110"/>
    <mergeCell ref="M111:V111"/>
    <mergeCell ref="M112:V112"/>
    <mergeCell ref="M113:V113"/>
    <mergeCell ref="M129:V129"/>
    <mergeCell ref="M130:V130"/>
    <mergeCell ref="M131:V131"/>
    <mergeCell ref="M132:V132"/>
    <mergeCell ref="M133:V133"/>
    <mergeCell ref="M134:V134"/>
    <mergeCell ref="M135:V135"/>
    <mergeCell ref="M136:V136"/>
    <mergeCell ref="M127:V127"/>
    <mergeCell ref="M128:V128"/>
    <mergeCell ref="M147:V147"/>
    <mergeCell ref="M94:V94"/>
    <mergeCell ref="M95:V95"/>
    <mergeCell ref="M96:V96"/>
    <mergeCell ref="M97:V97"/>
    <mergeCell ref="M98:V98"/>
    <mergeCell ref="M101:V101"/>
    <mergeCell ref="M92:V92"/>
    <mergeCell ref="M93:V93"/>
    <mergeCell ref="M148:V148"/>
    <mergeCell ref="M146:V146"/>
    <mergeCell ref="M137:V137"/>
    <mergeCell ref="M138:V138"/>
    <mergeCell ref="M139:V139"/>
    <mergeCell ref="M140:V140"/>
    <mergeCell ref="M141:V141"/>
    <mergeCell ref="M142:V142"/>
    <mergeCell ref="M143:V143"/>
    <mergeCell ref="M144:V144"/>
    <mergeCell ref="M145:V145"/>
    <mergeCell ref="M13:V13"/>
    <mergeCell ref="M68:V68"/>
    <mergeCell ref="M12:V12"/>
    <mergeCell ref="M1:V1"/>
    <mergeCell ref="M2:V2"/>
    <mergeCell ref="M3:V3"/>
    <mergeCell ref="M4:V4"/>
    <mergeCell ref="M5:V5"/>
    <mergeCell ref="M6:V6"/>
    <mergeCell ref="M7:V7"/>
    <mergeCell ref="M8:V8"/>
    <mergeCell ref="M9:V9"/>
    <mergeCell ref="M10:V10"/>
    <mergeCell ref="M11:V11"/>
    <mergeCell ref="M14:V14"/>
    <mergeCell ref="M15:V15"/>
    <mergeCell ref="M16:V16"/>
    <mergeCell ref="M17:V17"/>
    <mergeCell ref="M18:V18"/>
    <mergeCell ref="M19:V19"/>
    <mergeCell ref="M24:V24"/>
    <mergeCell ref="M36:V36"/>
    <mergeCell ref="M25:V25"/>
    <mergeCell ref="M26:V26"/>
    <mergeCell ref="M20:V20"/>
    <mergeCell ref="M21:V21"/>
    <mergeCell ref="M22:V22"/>
    <mergeCell ref="M23:V23"/>
    <mergeCell ref="M40:V40"/>
    <mergeCell ref="M42:V42"/>
    <mergeCell ref="M43:V43"/>
    <mergeCell ref="M44:V44"/>
    <mergeCell ref="M45:V45"/>
    <mergeCell ref="M41:V41"/>
    <mergeCell ref="M37:V37"/>
    <mergeCell ref="M38:V38"/>
    <mergeCell ref="M39:V39"/>
    <mergeCell ref="M27:V27"/>
    <mergeCell ref="M28:V28"/>
    <mergeCell ref="M29:V29"/>
    <mergeCell ref="M30:V30"/>
    <mergeCell ref="M31:V31"/>
    <mergeCell ref="M32:V32"/>
    <mergeCell ref="M33:V33"/>
    <mergeCell ref="M34:V34"/>
    <mergeCell ref="M35:V35"/>
    <mergeCell ref="M46:V46"/>
    <mergeCell ref="M49:V49"/>
    <mergeCell ref="M50:V50"/>
    <mergeCell ref="M51:V51"/>
    <mergeCell ref="M47:V47"/>
    <mergeCell ref="M48:V48"/>
    <mergeCell ref="M57:V57"/>
    <mergeCell ref="M52:V52"/>
    <mergeCell ref="M53:V53"/>
    <mergeCell ref="M54:V54"/>
    <mergeCell ref="M55:V55"/>
    <mergeCell ref="M56:V56"/>
    <mergeCell ref="M66:V66"/>
    <mergeCell ref="M67:V67"/>
    <mergeCell ref="M63:V63"/>
    <mergeCell ref="M58:V58"/>
    <mergeCell ref="M59:V59"/>
    <mergeCell ref="M60:V60"/>
    <mergeCell ref="M61:V61"/>
    <mergeCell ref="M62:V62"/>
    <mergeCell ref="M64:V64"/>
    <mergeCell ref="M65:V65"/>
    <mergeCell ref="M69:V69"/>
    <mergeCell ref="M70:V70"/>
    <mergeCell ref="M71:V71"/>
    <mergeCell ref="M72:V72"/>
    <mergeCell ref="M73:V73"/>
    <mergeCell ref="M83:V83"/>
    <mergeCell ref="M84:V84"/>
    <mergeCell ref="M85:V85"/>
    <mergeCell ref="M86:V86"/>
    <mergeCell ref="M74:V74"/>
    <mergeCell ref="M81:V81"/>
    <mergeCell ref="M82:V82"/>
    <mergeCell ref="M80:V80"/>
    <mergeCell ref="M75:V75"/>
    <mergeCell ref="M76:V76"/>
    <mergeCell ref="M77:V77"/>
    <mergeCell ref="M78:V78"/>
    <mergeCell ref="M79:V79"/>
    <mergeCell ref="M87:V87"/>
    <mergeCell ref="M88:V88"/>
    <mergeCell ref="M89:V89"/>
    <mergeCell ref="M123:V123"/>
    <mergeCell ref="M124:V124"/>
    <mergeCell ref="M125:V125"/>
    <mergeCell ref="M126:V126"/>
    <mergeCell ref="M114:V114"/>
    <mergeCell ref="M115:V115"/>
    <mergeCell ref="M116:V116"/>
    <mergeCell ref="M117:V117"/>
    <mergeCell ref="M118:V118"/>
    <mergeCell ref="M119:V119"/>
    <mergeCell ref="M120:V120"/>
    <mergeCell ref="M121:V121"/>
    <mergeCell ref="M122:V122"/>
    <mergeCell ref="M105:V105"/>
    <mergeCell ref="M104:V104"/>
    <mergeCell ref="M90:V90"/>
    <mergeCell ref="M91:V91"/>
    <mergeCell ref="M102:V102"/>
    <mergeCell ref="M103:V103"/>
    <mergeCell ref="M100:V100"/>
    <mergeCell ref="M99:V99"/>
    <mergeCell ref="M232:V232"/>
    <mergeCell ref="M190:V190"/>
    <mergeCell ref="M191:V191"/>
    <mergeCell ref="M192:V192"/>
    <mergeCell ref="M202:V202"/>
    <mergeCell ref="M203:V203"/>
    <mergeCell ref="M181:V181"/>
    <mergeCell ref="M182:V182"/>
    <mergeCell ref="M183:V183"/>
    <mergeCell ref="M184:V184"/>
    <mergeCell ref="M185:V185"/>
    <mergeCell ref="M186:V186"/>
    <mergeCell ref="M187:V187"/>
    <mergeCell ref="M188:V188"/>
    <mergeCell ref="M189:V189"/>
    <mergeCell ref="M193:V193"/>
    <mergeCell ref="M194:V194"/>
    <mergeCell ref="M195:V195"/>
    <mergeCell ref="M196:V196"/>
    <mergeCell ref="M197:V197"/>
    <mergeCell ref="M198:V198"/>
    <mergeCell ref="M199:V199"/>
    <mergeCell ref="M200:V200"/>
    <mergeCell ref="M201:V201"/>
    <mergeCell ref="M247:V247"/>
    <mergeCell ref="M248:V248"/>
    <mergeCell ref="M249:V249"/>
    <mergeCell ref="M250:V250"/>
    <mergeCell ref="M251:V251"/>
    <mergeCell ref="M252:V252"/>
    <mergeCell ref="M253:V253"/>
    <mergeCell ref="M238:V238"/>
    <mergeCell ref="M239:V239"/>
    <mergeCell ref="M240:V240"/>
    <mergeCell ref="M241:V241"/>
    <mergeCell ref="M242:V242"/>
    <mergeCell ref="M243:V243"/>
    <mergeCell ref="M244:V244"/>
    <mergeCell ref="M245:V245"/>
    <mergeCell ref="M246:V246"/>
    <mergeCell ref="M254:V254"/>
    <mergeCell ref="M255:V255"/>
    <mergeCell ref="M256:V256"/>
    <mergeCell ref="M257:V257"/>
    <mergeCell ref="M258:V258"/>
    <mergeCell ref="M259:V259"/>
    <mergeCell ref="M260:V260"/>
    <mergeCell ref="M261:V261"/>
    <mergeCell ref="M262:V262"/>
    <mergeCell ref="M272:V272"/>
    <mergeCell ref="M273:V273"/>
    <mergeCell ref="M263:V263"/>
    <mergeCell ref="M264:V264"/>
    <mergeCell ref="M265:V265"/>
    <mergeCell ref="M266:V266"/>
    <mergeCell ref="M267:V267"/>
    <mergeCell ref="M268:V268"/>
    <mergeCell ref="M269:V269"/>
    <mergeCell ref="M270:V270"/>
    <mergeCell ref="M271:V271"/>
    <mergeCell ref="M274:V274"/>
    <mergeCell ref="M275:V275"/>
    <mergeCell ref="M276:V276"/>
    <mergeCell ref="M277:V277"/>
    <mergeCell ref="M278:V278"/>
    <mergeCell ref="M279:V279"/>
    <mergeCell ref="M280:V280"/>
    <mergeCell ref="M281:V281"/>
    <mergeCell ref="M282:V282"/>
    <mergeCell ref="M283:V283"/>
    <mergeCell ref="M284:V284"/>
    <mergeCell ref="M285:V285"/>
    <mergeCell ref="M286:V286"/>
    <mergeCell ref="M287:V287"/>
    <mergeCell ref="M288:V288"/>
    <mergeCell ref="M289:V289"/>
    <mergeCell ref="M299:V299"/>
    <mergeCell ref="M300:V300"/>
    <mergeCell ref="M290:V290"/>
    <mergeCell ref="M291:V291"/>
    <mergeCell ref="M292:V292"/>
    <mergeCell ref="M293:V293"/>
    <mergeCell ref="M294:V294"/>
    <mergeCell ref="M295:V295"/>
    <mergeCell ref="M296:V296"/>
    <mergeCell ref="M297:V297"/>
    <mergeCell ref="M298:V298"/>
    <mergeCell ref="M301:V301"/>
    <mergeCell ref="M302:V302"/>
    <mergeCell ref="M303:V303"/>
    <mergeCell ref="M304:V304"/>
    <mergeCell ref="M305:V305"/>
    <mergeCell ref="M306:V306"/>
    <mergeCell ref="M307:V307"/>
    <mergeCell ref="M308:V308"/>
    <mergeCell ref="M309:V309"/>
    <mergeCell ref="M310:V310"/>
    <mergeCell ref="M311:V311"/>
    <mergeCell ref="M312:V312"/>
    <mergeCell ref="M313:V313"/>
    <mergeCell ref="M317:V317"/>
    <mergeCell ref="M327:V327"/>
    <mergeCell ref="M328:V328"/>
    <mergeCell ref="M329:V329"/>
    <mergeCell ref="M338:V338"/>
    <mergeCell ref="M323:V323"/>
    <mergeCell ref="M324:V324"/>
    <mergeCell ref="M325:V325"/>
    <mergeCell ref="M326:V326"/>
    <mergeCell ref="M314:V314"/>
    <mergeCell ref="M315:V315"/>
    <mergeCell ref="M316:V316"/>
    <mergeCell ref="M318:V318"/>
    <mergeCell ref="M319:V319"/>
    <mergeCell ref="M320:V320"/>
    <mergeCell ref="M321:V321"/>
    <mergeCell ref="M322:V322"/>
    <mergeCell ref="M342:V342"/>
    <mergeCell ref="M343:V343"/>
    <mergeCell ref="M344:V344"/>
    <mergeCell ref="M375:V375"/>
    <mergeCell ref="M376:V376"/>
    <mergeCell ref="M377:V377"/>
    <mergeCell ref="M378:V378"/>
    <mergeCell ref="M388:V388"/>
    <mergeCell ref="M389:V389"/>
    <mergeCell ref="M345:V345"/>
    <mergeCell ref="M346:V346"/>
    <mergeCell ref="M347:V347"/>
    <mergeCell ref="M348:V348"/>
    <mergeCell ref="M349:V349"/>
    <mergeCell ref="M350:V350"/>
    <mergeCell ref="M355:V355"/>
    <mergeCell ref="M356:V356"/>
    <mergeCell ref="M357:V357"/>
    <mergeCell ref="M367:V367"/>
    <mergeCell ref="M373:V373"/>
    <mergeCell ref="M374:V374"/>
    <mergeCell ref="M351:V351"/>
    <mergeCell ref="M352:V352"/>
    <mergeCell ref="M353:V353"/>
    <mergeCell ref="M422:V422"/>
    <mergeCell ref="M400:V400"/>
    <mergeCell ref="M402:V402"/>
    <mergeCell ref="M403:V403"/>
    <mergeCell ref="M404:V404"/>
    <mergeCell ref="M405:V405"/>
    <mergeCell ref="M406:V406"/>
    <mergeCell ref="M407:V407"/>
    <mergeCell ref="M408:V408"/>
    <mergeCell ref="M401:V401"/>
    <mergeCell ref="M433:V433"/>
    <mergeCell ref="M434:V434"/>
    <mergeCell ref="M435:V435"/>
    <mergeCell ref="M436:V436"/>
    <mergeCell ref="M437:V437"/>
    <mergeCell ref="M438:V438"/>
    <mergeCell ref="M439:V439"/>
    <mergeCell ref="M440:V440"/>
    <mergeCell ref="M441:V441"/>
    <mergeCell ref="M458:V458"/>
    <mergeCell ref="M487:V487"/>
    <mergeCell ref="M456:V456"/>
    <mergeCell ref="M457:V457"/>
    <mergeCell ref="M442:V442"/>
    <mergeCell ref="M443:V443"/>
    <mergeCell ref="M444:V444"/>
    <mergeCell ref="M445:V445"/>
    <mergeCell ref="M446:V446"/>
    <mergeCell ref="M482:V482"/>
    <mergeCell ref="M483:V483"/>
    <mergeCell ref="M484:V484"/>
    <mergeCell ref="M485:V485"/>
    <mergeCell ref="M486:V486"/>
    <mergeCell ref="M459:V459"/>
    <mergeCell ref="M460:V460"/>
    <mergeCell ref="M469:V469"/>
    <mergeCell ref="M470:V470"/>
    <mergeCell ref="M471:V471"/>
    <mergeCell ref="M472:V472"/>
    <mergeCell ref="M481:V481"/>
    <mergeCell ref="M476:V476"/>
    <mergeCell ref="M477:V477"/>
    <mergeCell ref="M473:V47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M226"/>
  <sheetViews>
    <sheetView tabSelected="1" zoomScale="70" zoomScaleNormal="70" workbookViewId="0">
      <selection activeCell="I7" sqref="I7"/>
    </sheetView>
  </sheetViews>
  <sheetFormatPr defaultRowHeight="14.25" x14ac:dyDescent="0.2"/>
  <cols>
    <col min="1" max="1" width="9.140625" style="336"/>
    <col min="2" max="2" width="5.7109375" style="336" customWidth="1"/>
    <col min="3" max="3" width="40" style="374" bestFit="1" customWidth="1"/>
    <col min="4" max="4" width="8.5703125" style="374" bestFit="1" customWidth="1"/>
    <col min="5" max="5" width="15" style="374" customWidth="1"/>
    <col min="6" max="6" width="15.7109375" style="374" bestFit="1" customWidth="1"/>
    <col min="7" max="7" width="8.5703125" style="374" bestFit="1" customWidth="1"/>
    <col min="8" max="8" width="15" style="374" bestFit="1" customWidth="1"/>
    <col min="9" max="9" width="15.7109375" style="374" bestFit="1" customWidth="1"/>
    <col min="10" max="10" width="8.5703125" style="374" bestFit="1" customWidth="1"/>
    <col min="11" max="11" width="15" style="374" bestFit="1" customWidth="1"/>
    <col min="12" max="12" width="15.7109375" style="374" bestFit="1" customWidth="1"/>
    <col min="13" max="13" width="8.5703125" style="374" bestFit="1" customWidth="1"/>
    <col min="14" max="14" width="15" style="374" bestFit="1" customWidth="1"/>
    <col min="15" max="15" width="15.7109375" style="374" bestFit="1" customWidth="1"/>
    <col min="16" max="18" width="12.7109375" style="337" customWidth="1"/>
    <col min="19" max="19" width="15" style="337" customWidth="1"/>
    <col min="20" max="20" width="17.140625" style="337" customWidth="1"/>
    <col min="21" max="21" width="2.42578125" style="338" bestFit="1" customWidth="1"/>
    <col min="22" max="25" width="5.7109375" style="338" bestFit="1" customWidth="1"/>
    <col min="26" max="26" width="2.5703125" style="339" bestFit="1" customWidth="1"/>
    <col min="27" max="27" width="5.28515625" style="340" bestFit="1" customWidth="1"/>
    <col min="28" max="30" width="5.7109375" style="338" bestFit="1" customWidth="1"/>
    <col min="31" max="31" width="9.140625" style="338"/>
    <col min="32" max="39" width="9.140625" style="336"/>
    <col min="40" max="16384" width="9.140625" style="374"/>
  </cols>
  <sheetData>
    <row r="1" spans="2:31" s="336" customFormat="1" ht="15" thickBot="1" x14ac:dyDescent="0.25">
      <c r="P1" s="337"/>
      <c r="Q1" s="337"/>
      <c r="R1" s="337"/>
      <c r="S1" s="337"/>
      <c r="T1" s="337"/>
      <c r="U1" s="338"/>
      <c r="V1" s="338"/>
      <c r="W1" s="338"/>
      <c r="X1" s="338"/>
      <c r="Y1" s="338"/>
      <c r="Z1" s="339"/>
      <c r="AA1" s="340"/>
      <c r="AB1" s="338"/>
      <c r="AC1" s="338"/>
      <c r="AD1" s="338"/>
      <c r="AE1" s="338"/>
    </row>
    <row r="2" spans="2:31" s="336" customFormat="1" ht="46.5" customHeight="1" x14ac:dyDescent="0.2">
      <c r="B2" s="341"/>
      <c r="C2" s="342"/>
      <c r="D2" s="342"/>
      <c r="E2" s="342"/>
      <c r="F2" s="342"/>
      <c r="G2" s="342"/>
      <c r="H2" s="342"/>
      <c r="I2" s="342"/>
      <c r="J2" s="342"/>
      <c r="K2" s="342"/>
      <c r="L2" s="342"/>
      <c r="M2" s="342"/>
      <c r="N2" s="342"/>
      <c r="O2" s="342"/>
      <c r="P2" s="343"/>
      <c r="Q2" s="343"/>
      <c r="R2" s="343"/>
      <c r="S2" s="343"/>
      <c r="T2" s="343"/>
      <c r="U2" s="344"/>
      <c r="V2" s="338"/>
      <c r="W2" s="338"/>
      <c r="X2" s="338"/>
      <c r="Y2" s="338"/>
      <c r="Z2" s="339"/>
      <c r="AA2" s="340"/>
      <c r="AB2" s="338"/>
      <c r="AC2" s="338"/>
      <c r="AD2" s="338"/>
      <c r="AE2" s="338"/>
    </row>
    <row r="3" spans="2:31" s="336" customFormat="1" ht="19.5" x14ac:dyDescent="0.2">
      <c r="B3" s="345"/>
      <c r="C3" s="346"/>
      <c r="D3" s="346"/>
      <c r="E3" s="346"/>
      <c r="F3" s="346"/>
      <c r="G3" s="346"/>
      <c r="H3" s="346"/>
      <c r="I3" s="347" t="s">
        <v>643</v>
      </c>
      <c r="J3" s="347"/>
      <c r="K3" s="347"/>
      <c r="L3" s="347"/>
      <c r="M3" s="347"/>
      <c r="N3" s="347"/>
      <c r="O3" s="347"/>
      <c r="P3" s="346"/>
      <c r="Q3" s="346"/>
      <c r="R3" s="346"/>
      <c r="S3" s="346"/>
      <c r="T3" s="346"/>
      <c r="U3" s="348"/>
      <c r="V3" s="338"/>
      <c r="W3" s="338"/>
      <c r="X3" s="338"/>
      <c r="Y3" s="338"/>
      <c r="Z3" s="339"/>
      <c r="AA3" s="340"/>
      <c r="AB3" s="338"/>
      <c r="AC3" s="338"/>
      <c r="AD3" s="338"/>
      <c r="AE3" s="338"/>
    </row>
    <row r="4" spans="2:31" s="336" customFormat="1" ht="9.75" customHeight="1" thickBot="1" x14ac:dyDescent="0.25">
      <c r="B4" s="345"/>
      <c r="C4" s="346"/>
      <c r="D4" s="346"/>
      <c r="E4" s="346"/>
      <c r="F4" s="346"/>
      <c r="G4" s="346"/>
      <c r="H4" s="346"/>
      <c r="I4" s="349"/>
      <c r="J4" s="349"/>
      <c r="K4" s="349"/>
      <c r="L4" s="349"/>
      <c r="M4" s="349"/>
      <c r="N4" s="349"/>
      <c r="O4" s="349"/>
      <c r="P4" s="346"/>
      <c r="Q4" s="346"/>
      <c r="R4" s="346"/>
      <c r="S4" s="346"/>
      <c r="T4" s="346"/>
      <c r="U4" s="348"/>
      <c r="V4" s="338"/>
      <c r="W4" s="338"/>
      <c r="X4" s="338"/>
      <c r="Y4" s="338"/>
      <c r="Z4" s="339"/>
      <c r="AA4" s="340"/>
      <c r="AB4" s="338"/>
      <c r="AC4" s="338"/>
      <c r="AD4" s="338"/>
      <c r="AE4" s="338"/>
    </row>
    <row r="5" spans="2:31" s="336" customFormat="1" ht="19.5" x14ac:dyDescent="0.2">
      <c r="B5" s="345"/>
      <c r="C5" s="350" t="s">
        <v>140</v>
      </c>
      <c r="D5" s="351" t="s">
        <v>639</v>
      </c>
      <c r="E5" s="352"/>
      <c r="F5" s="353"/>
      <c r="G5" s="354"/>
      <c r="H5" s="346"/>
      <c r="I5" s="349"/>
      <c r="J5" s="349"/>
      <c r="K5" s="349"/>
      <c r="L5" s="349"/>
      <c r="M5" s="349"/>
      <c r="N5" s="349"/>
      <c r="O5" s="349"/>
      <c r="P5" s="346"/>
      <c r="Q5" s="346"/>
      <c r="R5" s="346"/>
      <c r="S5" s="346"/>
      <c r="T5" s="346"/>
      <c r="U5" s="348"/>
      <c r="V5" s="338"/>
      <c r="W5" s="338"/>
      <c r="X5" s="338"/>
      <c r="Y5" s="338"/>
      <c r="Z5" s="339"/>
      <c r="AA5" s="340"/>
      <c r="AB5" s="338"/>
      <c r="AC5" s="338"/>
      <c r="AD5" s="338"/>
      <c r="AE5" s="338"/>
    </row>
    <row r="6" spans="2:31" s="336" customFormat="1" ht="19.5" x14ac:dyDescent="0.2">
      <c r="B6" s="345"/>
      <c r="C6" s="350" t="s">
        <v>141</v>
      </c>
      <c r="D6" s="355" t="s">
        <v>640</v>
      </c>
      <c r="E6" s="356"/>
      <c r="F6" s="357"/>
      <c r="G6" s="358"/>
      <c r="H6" s="346"/>
      <c r="I6" s="349"/>
      <c r="J6" s="349"/>
      <c r="K6" s="349"/>
      <c r="L6" s="349"/>
      <c r="M6" s="349"/>
      <c r="N6" s="349"/>
      <c r="O6" s="349"/>
      <c r="P6" s="346"/>
      <c r="Q6" s="346"/>
      <c r="R6" s="346"/>
      <c r="S6" s="346"/>
      <c r="T6" s="346"/>
      <c r="U6" s="348"/>
      <c r="V6" s="338"/>
      <c r="W6" s="338"/>
      <c r="X6" s="338"/>
      <c r="Y6" s="338"/>
      <c r="Z6" s="339"/>
      <c r="AA6" s="340"/>
      <c r="AB6" s="338"/>
      <c r="AC6" s="338"/>
      <c r="AD6" s="338"/>
      <c r="AE6" s="338"/>
    </row>
    <row r="7" spans="2:31" s="336" customFormat="1" ht="19.5" x14ac:dyDescent="0.2">
      <c r="B7" s="345"/>
      <c r="C7" s="350" t="s">
        <v>142</v>
      </c>
      <c r="D7" s="359" t="s">
        <v>641</v>
      </c>
      <c r="E7" s="360"/>
      <c r="F7" s="361"/>
      <c r="G7" s="358"/>
      <c r="H7" s="346"/>
      <c r="I7" s="349"/>
      <c r="J7" s="349"/>
      <c r="K7" s="349"/>
      <c r="L7" s="349"/>
      <c r="M7" s="349"/>
      <c r="N7" s="349"/>
      <c r="O7" s="349"/>
      <c r="P7" s="346"/>
      <c r="Q7" s="346"/>
      <c r="R7" s="346"/>
      <c r="S7" s="346"/>
      <c r="T7" s="346"/>
      <c r="U7" s="348"/>
      <c r="V7" s="338"/>
      <c r="W7" s="338"/>
      <c r="X7" s="338"/>
      <c r="Y7" s="338"/>
      <c r="Z7" s="339"/>
      <c r="AA7" s="340"/>
      <c r="AB7" s="338"/>
      <c r="AC7" s="338"/>
      <c r="AD7" s="338"/>
      <c r="AE7" s="338"/>
    </row>
    <row r="8" spans="2:31" s="336" customFormat="1" ht="21" customHeight="1" thickBot="1" x14ac:dyDescent="0.3">
      <c r="B8" s="362"/>
      <c r="C8" s="350" t="s">
        <v>143</v>
      </c>
      <c r="D8" s="363" t="s">
        <v>642</v>
      </c>
      <c r="E8" s="364"/>
      <c r="F8" s="365"/>
      <c r="G8" s="358"/>
      <c r="H8" s="366"/>
      <c r="I8" s="366"/>
      <c r="J8" s="366"/>
      <c r="K8" s="366"/>
      <c r="L8" s="366"/>
      <c r="M8" s="366"/>
      <c r="N8" s="366"/>
      <c r="O8" s="366"/>
      <c r="P8" s="366"/>
      <c r="Q8" s="366"/>
      <c r="R8" s="366"/>
      <c r="S8" s="366"/>
      <c r="T8" s="366"/>
      <c r="U8" s="367"/>
      <c r="V8" s="338"/>
      <c r="W8" s="338"/>
      <c r="X8" s="338"/>
      <c r="Y8" s="338"/>
      <c r="Z8" s="339"/>
      <c r="AA8" s="340"/>
      <c r="AB8" s="338"/>
      <c r="AC8" s="338"/>
      <c r="AD8" s="338"/>
      <c r="AE8" s="338"/>
    </row>
    <row r="9" spans="2:31" ht="30.75" customHeight="1" thickBot="1" x14ac:dyDescent="0.25">
      <c r="B9" s="362"/>
      <c r="C9" s="368" t="s">
        <v>144</v>
      </c>
      <c r="D9" s="369"/>
      <c r="E9" s="369"/>
      <c r="F9" s="369"/>
      <c r="G9" s="369"/>
      <c r="H9" s="369"/>
      <c r="I9" s="369" t="s">
        <v>337</v>
      </c>
      <c r="J9" s="369"/>
      <c r="K9" s="369"/>
      <c r="L9" s="369"/>
      <c r="M9" s="369"/>
      <c r="N9" s="369"/>
      <c r="O9" s="370"/>
      <c r="P9" s="371"/>
      <c r="Q9" s="371"/>
      <c r="R9" s="371"/>
      <c r="S9" s="371"/>
      <c r="T9" s="371"/>
      <c r="U9" s="372"/>
      <c r="V9" s="373"/>
      <c r="W9" s="373"/>
      <c r="X9" s="373"/>
      <c r="Y9" s="373"/>
      <c r="Z9" s="373"/>
      <c r="AA9" s="373"/>
      <c r="AB9" s="373"/>
      <c r="AC9" s="373"/>
      <c r="AD9" s="373"/>
    </row>
    <row r="10" spans="2:31" ht="15.75" thickBot="1" x14ac:dyDescent="0.25">
      <c r="B10" s="362"/>
      <c r="C10" s="375" t="s">
        <v>12</v>
      </c>
      <c r="D10" s="376" t="s">
        <v>140</v>
      </c>
      <c r="E10" s="376"/>
      <c r="F10" s="377"/>
      <c r="G10" s="378" t="s">
        <v>141</v>
      </c>
      <c r="H10" s="379"/>
      <c r="I10" s="380"/>
      <c r="J10" s="378" t="s">
        <v>142</v>
      </c>
      <c r="K10" s="379"/>
      <c r="L10" s="380"/>
      <c r="M10" s="378" t="s">
        <v>143</v>
      </c>
      <c r="N10" s="379"/>
      <c r="O10" s="380"/>
      <c r="P10" s="381"/>
      <c r="Q10" s="381"/>
      <c r="R10" s="381"/>
      <c r="S10" s="381"/>
      <c r="T10" s="381"/>
      <c r="U10" s="382"/>
      <c r="V10" s="383" t="s">
        <v>145</v>
      </c>
      <c r="W10" s="383"/>
      <c r="X10" s="383"/>
      <c r="Y10" s="383"/>
      <c r="Z10" s="384"/>
      <c r="AA10" s="385" t="s">
        <v>146</v>
      </c>
      <c r="AB10" s="385"/>
      <c r="AC10" s="385"/>
      <c r="AD10" s="385"/>
    </row>
    <row r="11" spans="2:31" ht="15.75" customHeight="1" thickBot="1" x14ac:dyDescent="0.25">
      <c r="B11" s="362"/>
      <c r="C11" s="386"/>
      <c r="D11" s="387" t="s">
        <v>147</v>
      </c>
      <c r="E11" s="388" t="s">
        <v>145</v>
      </c>
      <c r="F11" s="389" t="s">
        <v>146</v>
      </c>
      <c r="G11" s="390" t="s">
        <v>147</v>
      </c>
      <c r="H11" s="391" t="s">
        <v>145</v>
      </c>
      <c r="I11" s="389" t="s">
        <v>146</v>
      </c>
      <c r="J11" s="390" t="s">
        <v>147</v>
      </c>
      <c r="K11" s="391" t="s">
        <v>145</v>
      </c>
      <c r="L11" s="389" t="s">
        <v>146</v>
      </c>
      <c r="M11" s="390" t="s">
        <v>147</v>
      </c>
      <c r="N11" s="391" t="s">
        <v>145</v>
      </c>
      <c r="O11" s="392" t="s">
        <v>146</v>
      </c>
      <c r="P11" s="393"/>
      <c r="Q11" s="394"/>
      <c r="R11" s="394"/>
      <c r="S11" s="394"/>
      <c r="T11" s="394"/>
      <c r="U11" s="395"/>
      <c r="V11" s="396" t="s">
        <v>148</v>
      </c>
      <c r="W11" s="396" t="s">
        <v>149</v>
      </c>
      <c r="X11" s="396" t="s">
        <v>150</v>
      </c>
      <c r="Y11" s="397" t="s">
        <v>151</v>
      </c>
      <c r="Z11" s="398"/>
      <c r="AA11" s="399" t="s">
        <v>152</v>
      </c>
      <c r="AB11" s="399" t="s">
        <v>149</v>
      </c>
      <c r="AC11" s="399" t="s">
        <v>150</v>
      </c>
      <c r="AD11" s="399" t="s">
        <v>151</v>
      </c>
    </row>
    <row r="12" spans="2:31" ht="15" x14ac:dyDescent="0.2">
      <c r="B12" s="362"/>
      <c r="C12" s="400" t="s">
        <v>153</v>
      </c>
      <c r="D12" s="401">
        <v>0</v>
      </c>
      <c r="E12" s="402">
        <v>0</v>
      </c>
      <c r="F12" s="403"/>
      <c r="G12" s="404">
        <v>2</v>
      </c>
      <c r="H12" s="405">
        <v>2</v>
      </c>
      <c r="I12" s="406">
        <v>0.89</v>
      </c>
      <c r="J12" s="407"/>
      <c r="K12" s="405"/>
      <c r="L12" s="408"/>
      <c r="M12" s="407"/>
      <c r="N12" s="405"/>
      <c r="O12" s="408"/>
      <c r="P12" s="409"/>
      <c r="Q12" s="410"/>
      <c r="R12" s="410"/>
      <c r="S12" s="410"/>
      <c r="T12" s="410"/>
      <c r="U12" s="411"/>
      <c r="V12" s="412">
        <f t="shared" ref="V12:V22" si="0">IF(E12&gt;1,1,IF(E12=1,0.5,0))</f>
        <v>0</v>
      </c>
      <c r="W12" s="412">
        <f t="shared" ref="W12:W22" si="1">IF(H12&gt;1,1,IF(H12=1,0.5,0))</f>
        <v>1</v>
      </c>
      <c r="X12" s="412">
        <f t="shared" ref="X12:X22" si="2">IF(K12&gt;1,1,IF(K12=1,0.5,0))</f>
        <v>0</v>
      </c>
      <c r="Y12" s="412">
        <f t="shared" ref="Y12:Y22" si="3">IF(N12&gt;1,1,IF(N12=1,0.5,0))</f>
        <v>0</v>
      </c>
      <c r="Z12" s="413"/>
      <c r="AA12" s="414">
        <f t="shared" ref="AA12:AA22" si="4">IF(F12&gt;94%,1,IF(AND(F12&gt;84%,F12&lt;95%),0.5,0))</f>
        <v>0</v>
      </c>
      <c r="AB12" s="415">
        <f t="shared" ref="AB12:AB22" si="5">IF(I12&gt;94%,1,IF(AND(I12&gt;84%,I12&lt;95%),0.5,0))</f>
        <v>0.5</v>
      </c>
      <c r="AC12" s="415">
        <f t="shared" ref="AC12:AC22" si="6">IF(L12&gt;94%,1,IF(AND(L12&gt;84%,L12&lt;95%),0.5,0))</f>
        <v>0</v>
      </c>
      <c r="AD12" s="415">
        <f t="shared" ref="AD12:AD22" si="7">IF(O12&gt;94%,1,IF(AND(O12&gt;84%,O12&lt;95%),0.5,0))</f>
        <v>0</v>
      </c>
    </row>
    <row r="13" spans="2:31" ht="15" x14ac:dyDescent="0.2">
      <c r="B13" s="362"/>
      <c r="C13" s="400" t="s">
        <v>155</v>
      </c>
      <c r="D13" s="401">
        <v>0</v>
      </c>
      <c r="E13" s="402">
        <v>0</v>
      </c>
      <c r="F13" s="403"/>
      <c r="G13" s="404">
        <v>2</v>
      </c>
      <c r="H13" s="405">
        <v>2</v>
      </c>
      <c r="I13" s="406">
        <v>0.5</v>
      </c>
      <c r="J13" s="407"/>
      <c r="K13" s="405"/>
      <c r="L13" s="406"/>
      <c r="M13" s="407"/>
      <c r="N13" s="405"/>
      <c r="O13" s="406"/>
      <c r="P13" s="409"/>
      <c r="Q13" s="410"/>
      <c r="R13" s="410"/>
      <c r="S13" s="410"/>
      <c r="T13" s="410"/>
      <c r="U13" s="411"/>
      <c r="V13" s="412">
        <f t="shared" si="0"/>
        <v>0</v>
      </c>
      <c r="W13" s="412">
        <f t="shared" si="1"/>
        <v>1</v>
      </c>
      <c r="X13" s="412">
        <f t="shared" si="2"/>
        <v>0</v>
      </c>
      <c r="Y13" s="412">
        <f t="shared" si="3"/>
        <v>0</v>
      </c>
      <c r="Z13" s="413"/>
      <c r="AA13" s="414">
        <f t="shared" si="4"/>
        <v>0</v>
      </c>
      <c r="AB13" s="415">
        <f t="shared" si="5"/>
        <v>0</v>
      </c>
      <c r="AC13" s="415">
        <f t="shared" si="6"/>
        <v>0</v>
      </c>
      <c r="AD13" s="415">
        <f t="shared" si="7"/>
        <v>0</v>
      </c>
    </row>
    <row r="14" spans="2:31" ht="15" x14ac:dyDescent="0.2">
      <c r="B14" s="362"/>
      <c r="C14" s="400" t="s">
        <v>626</v>
      </c>
      <c r="D14" s="401">
        <v>0</v>
      </c>
      <c r="E14" s="402">
        <v>0</v>
      </c>
      <c r="F14" s="403"/>
      <c r="G14" s="404">
        <v>2</v>
      </c>
      <c r="H14" s="405">
        <v>2</v>
      </c>
      <c r="I14" s="406">
        <v>1</v>
      </c>
      <c r="J14" s="407"/>
      <c r="K14" s="405"/>
      <c r="L14" s="406"/>
      <c r="M14" s="407"/>
      <c r="N14" s="405"/>
      <c r="O14" s="406"/>
      <c r="P14" s="409"/>
      <c r="Q14" s="410"/>
      <c r="R14" s="410"/>
      <c r="S14" s="410"/>
      <c r="T14" s="410"/>
      <c r="U14" s="411"/>
      <c r="V14" s="412">
        <f t="shared" si="0"/>
        <v>0</v>
      </c>
      <c r="W14" s="412">
        <f t="shared" si="1"/>
        <v>1</v>
      </c>
      <c r="X14" s="412">
        <f t="shared" si="2"/>
        <v>0</v>
      </c>
      <c r="Y14" s="412">
        <f t="shared" si="3"/>
        <v>0</v>
      </c>
      <c r="Z14" s="413"/>
      <c r="AA14" s="414">
        <f t="shared" si="4"/>
        <v>0</v>
      </c>
      <c r="AB14" s="415">
        <f t="shared" si="5"/>
        <v>1</v>
      </c>
      <c r="AC14" s="415">
        <f t="shared" si="6"/>
        <v>0</v>
      </c>
      <c r="AD14" s="415">
        <f t="shared" si="7"/>
        <v>0</v>
      </c>
    </row>
    <row r="15" spans="2:31" ht="15" x14ac:dyDescent="0.2">
      <c r="B15" s="362"/>
      <c r="C15" s="400" t="s">
        <v>505</v>
      </c>
      <c r="D15" s="401">
        <v>0</v>
      </c>
      <c r="E15" s="402">
        <v>0</v>
      </c>
      <c r="F15" s="403"/>
      <c r="G15" s="404">
        <v>2</v>
      </c>
      <c r="H15" s="405">
        <v>2</v>
      </c>
      <c r="I15" s="406">
        <v>0.96</v>
      </c>
      <c r="J15" s="407"/>
      <c r="K15" s="405"/>
      <c r="L15" s="406"/>
      <c r="M15" s="407"/>
      <c r="N15" s="405"/>
      <c r="O15" s="406"/>
      <c r="P15" s="410"/>
      <c r="Q15" s="410"/>
      <c r="R15" s="410"/>
      <c r="S15" s="410"/>
      <c r="T15" s="410"/>
      <c r="U15" s="411"/>
      <c r="V15" s="412">
        <f t="shared" si="0"/>
        <v>0</v>
      </c>
      <c r="W15" s="412">
        <f t="shared" si="1"/>
        <v>1</v>
      </c>
      <c r="X15" s="412">
        <f t="shared" si="2"/>
        <v>0</v>
      </c>
      <c r="Y15" s="412">
        <f t="shared" si="3"/>
        <v>0</v>
      </c>
      <c r="Z15" s="413"/>
      <c r="AA15" s="414">
        <f t="shared" si="4"/>
        <v>0</v>
      </c>
      <c r="AB15" s="415">
        <f t="shared" si="5"/>
        <v>1</v>
      </c>
      <c r="AC15" s="415">
        <f t="shared" si="6"/>
        <v>0</v>
      </c>
      <c r="AD15" s="415">
        <f t="shared" si="7"/>
        <v>0</v>
      </c>
    </row>
    <row r="16" spans="2:31" ht="15" x14ac:dyDescent="0.2">
      <c r="B16" s="362"/>
      <c r="C16" s="400" t="s">
        <v>223</v>
      </c>
      <c r="D16" s="401">
        <v>0</v>
      </c>
      <c r="E16" s="402">
        <v>0</v>
      </c>
      <c r="F16" s="403"/>
      <c r="G16" s="404">
        <v>2</v>
      </c>
      <c r="H16" s="405">
        <v>2</v>
      </c>
      <c r="I16" s="406">
        <v>0.98</v>
      </c>
      <c r="J16" s="407"/>
      <c r="K16" s="405"/>
      <c r="L16" s="406"/>
      <c r="M16" s="407"/>
      <c r="N16" s="405"/>
      <c r="O16" s="406"/>
      <c r="P16" s="410"/>
      <c r="Q16" s="410"/>
      <c r="R16" s="410"/>
      <c r="S16" s="410"/>
      <c r="T16" s="410"/>
      <c r="U16" s="411"/>
      <c r="V16" s="412">
        <f t="shared" si="0"/>
        <v>0</v>
      </c>
      <c r="W16" s="412">
        <f t="shared" si="1"/>
        <v>1</v>
      </c>
      <c r="X16" s="412">
        <f t="shared" si="2"/>
        <v>0</v>
      </c>
      <c r="Y16" s="412">
        <f t="shared" si="3"/>
        <v>0</v>
      </c>
      <c r="Z16" s="413"/>
      <c r="AA16" s="414">
        <f t="shared" si="4"/>
        <v>0</v>
      </c>
      <c r="AB16" s="415">
        <f t="shared" si="5"/>
        <v>1</v>
      </c>
      <c r="AC16" s="415">
        <f t="shared" si="6"/>
        <v>0</v>
      </c>
      <c r="AD16" s="415">
        <f t="shared" si="7"/>
        <v>0</v>
      </c>
    </row>
    <row r="17" spans="2:31" ht="15" x14ac:dyDescent="0.2">
      <c r="B17" s="362"/>
      <c r="C17" s="400" t="s">
        <v>379</v>
      </c>
      <c r="D17" s="401">
        <v>0</v>
      </c>
      <c r="E17" s="402">
        <v>0</v>
      </c>
      <c r="F17" s="416"/>
      <c r="G17" s="407">
        <v>2</v>
      </c>
      <c r="H17" s="405">
        <v>2</v>
      </c>
      <c r="I17" s="403">
        <v>0.94</v>
      </c>
      <c r="J17" s="407"/>
      <c r="K17" s="405"/>
      <c r="L17" s="416"/>
      <c r="M17" s="407"/>
      <c r="N17" s="405"/>
      <c r="O17" s="406"/>
      <c r="P17" s="410"/>
      <c r="Q17" s="410"/>
      <c r="R17" s="410"/>
      <c r="S17" s="410"/>
      <c r="T17" s="410"/>
      <c r="U17" s="411"/>
      <c r="V17" s="412">
        <f t="shared" si="0"/>
        <v>0</v>
      </c>
      <c r="W17" s="412">
        <f t="shared" si="1"/>
        <v>1</v>
      </c>
      <c r="X17" s="412">
        <f t="shared" si="2"/>
        <v>0</v>
      </c>
      <c r="Y17" s="412">
        <f t="shared" si="3"/>
        <v>0</v>
      </c>
      <c r="Z17" s="413"/>
      <c r="AA17" s="414">
        <f t="shared" si="4"/>
        <v>0</v>
      </c>
      <c r="AB17" s="415">
        <f t="shared" si="5"/>
        <v>0.5</v>
      </c>
      <c r="AC17" s="415">
        <f t="shared" si="6"/>
        <v>0</v>
      </c>
      <c r="AD17" s="415">
        <f t="shared" si="7"/>
        <v>0</v>
      </c>
    </row>
    <row r="18" spans="2:31" ht="15" x14ac:dyDescent="0.2">
      <c r="B18" s="362"/>
      <c r="C18" s="400" t="s">
        <v>421</v>
      </c>
      <c r="D18" s="401">
        <v>0</v>
      </c>
      <c r="E18" s="402">
        <v>0</v>
      </c>
      <c r="F18" s="417"/>
      <c r="G18" s="418">
        <v>2</v>
      </c>
      <c r="H18" s="405">
        <v>2</v>
      </c>
      <c r="I18" s="416">
        <v>1</v>
      </c>
      <c r="J18" s="419"/>
      <c r="K18" s="405"/>
      <c r="L18" s="406"/>
      <c r="M18" s="407"/>
      <c r="N18" s="405"/>
      <c r="O18" s="416"/>
      <c r="P18" s="410"/>
      <c r="Q18" s="410"/>
      <c r="R18" s="410"/>
      <c r="S18" s="410"/>
      <c r="T18" s="410"/>
      <c r="U18" s="411"/>
      <c r="V18" s="412">
        <f t="shared" si="0"/>
        <v>0</v>
      </c>
      <c r="W18" s="412">
        <f t="shared" si="1"/>
        <v>1</v>
      </c>
      <c r="X18" s="412">
        <f t="shared" si="2"/>
        <v>0</v>
      </c>
      <c r="Y18" s="412">
        <f t="shared" si="3"/>
        <v>0</v>
      </c>
      <c r="Z18" s="413"/>
      <c r="AA18" s="414">
        <f t="shared" si="4"/>
        <v>0</v>
      </c>
      <c r="AB18" s="415">
        <f t="shared" si="5"/>
        <v>1</v>
      </c>
      <c r="AC18" s="415">
        <f t="shared" si="6"/>
        <v>0</v>
      </c>
      <c r="AD18" s="415">
        <f t="shared" si="7"/>
        <v>0</v>
      </c>
    </row>
    <row r="19" spans="2:31" ht="15" x14ac:dyDescent="0.2">
      <c r="B19" s="362"/>
      <c r="C19" s="400" t="s">
        <v>549</v>
      </c>
      <c r="D19" s="401">
        <v>0</v>
      </c>
      <c r="E19" s="402">
        <v>0</v>
      </c>
      <c r="F19" s="417"/>
      <c r="G19" s="418">
        <v>2</v>
      </c>
      <c r="H19" s="420">
        <v>1</v>
      </c>
      <c r="I19" s="416">
        <v>1</v>
      </c>
      <c r="J19" s="418"/>
      <c r="K19" s="420"/>
      <c r="L19" s="416"/>
      <c r="M19" s="407"/>
      <c r="N19" s="405"/>
      <c r="O19" s="416"/>
      <c r="P19" s="421"/>
      <c r="Q19" s="421"/>
      <c r="R19" s="421"/>
      <c r="S19" s="421"/>
      <c r="T19" s="421"/>
      <c r="U19" s="422"/>
      <c r="V19" s="412">
        <f t="shared" si="0"/>
        <v>0</v>
      </c>
      <c r="W19" s="412">
        <f t="shared" si="1"/>
        <v>0.5</v>
      </c>
      <c r="X19" s="412">
        <f t="shared" si="2"/>
        <v>0</v>
      </c>
      <c r="Y19" s="412">
        <f t="shared" si="3"/>
        <v>0</v>
      </c>
      <c r="Z19" s="423"/>
      <c r="AA19" s="414">
        <f t="shared" si="4"/>
        <v>0</v>
      </c>
      <c r="AB19" s="415">
        <f t="shared" si="5"/>
        <v>1</v>
      </c>
      <c r="AC19" s="415">
        <f t="shared" si="6"/>
        <v>0</v>
      </c>
      <c r="AD19" s="415">
        <f t="shared" si="7"/>
        <v>0</v>
      </c>
    </row>
    <row r="20" spans="2:31" ht="15" x14ac:dyDescent="0.2">
      <c r="B20" s="362"/>
      <c r="C20" s="400"/>
      <c r="D20" s="401"/>
      <c r="E20" s="402"/>
      <c r="F20" s="417"/>
      <c r="G20" s="418"/>
      <c r="H20" s="420"/>
      <c r="I20" s="416"/>
      <c r="J20" s="418"/>
      <c r="K20" s="420"/>
      <c r="L20" s="416"/>
      <c r="M20" s="407"/>
      <c r="N20" s="405"/>
      <c r="O20" s="416"/>
      <c r="P20" s="421"/>
      <c r="Q20" s="421"/>
      <c r="R20" s="421"/>
      <c r="S20" s="421"/>
      <c r="T20" s="421"/>
      <c r="U20" s="422"/>
      <c r="V20" s="412">
        <f t="shared" si="0"/>
        <v>0</v>
      </c>
      <c r="W20" s="412">
        <f t="shared" si="1"/>
        <v>0</v>
      </c>
      <c r="X20" s="412">
        <f t="shared" si="2"/>
        <v>0</v>
      </c>
      <c r="Y20" s="412">
        <f t="shared" si="3"/>
        <v>0</v>
      </c>
      <c r="Z20" s="423"/>
      <c r="AA20" s="414">
        <f t="shared" si="4"/>
        <v>0</v>
      </c>
      <c r="AB20" s="415">
        <f t="shared" si="5"/>
        <v>0</v>
      </c>
      <c r="AC20" s="415">
        <f t="shared" si="6"/>
        <v>0</v>
      </c>
      <c r="AD20" s="415">
        <f t="shared" si="7"/>
        <v>0</v>
      </c>
    </row>
    <row r="21" spans="2:31" ht="15" x14ac:dyDescent="0.2">
      <c r="B21" s="362"/>
      <c r="C21" s="400"/>
      <c r="D21" s="424"/>
      <c r="E21" s="405"/>
      <c r="F21" s="417"/>
      <c r="G21" s="418"/>
      <c r="H21" s="420"/>
      <c r="I21" s="416"/>
      <c r="J21" s="418"/>
      <c r="K21" s="420"/>
      <c r="L21" s="416"/>
      <c r="M21" s="407"/>
      <c r="N21" s="405"/>
      <c r="O21" s="416"/>
      <c r="P21" s="421"/>
      <c r="Q21" s="421"/>
      <c r="R21" s="421"/>
      <c r="S21" s="421"/>
      <c r="T21" s="421"/>
      <c r="U21" s="422"/>
      <c r="V21" s="412">
        <f t="shared" si="0"/>
        <v>0</v>
      </c>
      <c r="W21" s="412">
        <f t="shared" si="1"/>
        <v>0</v>
      </c>
      <c r="X21" s="412">
        <f t="shared" si="2"/>
        <v>0</v>
      </c>
      <c r="Y21" s="412">
        <f t="shared" si="3"/>
        <v>0</v>
      </c>
      <c r="Z21" s="423"/>
      <c r="AA21" s="414">
        <f t="shared" si="4"/>
        <v>0</v>
      </c>
      <c r="AB21" s="415">
        <f t="shared" si="5"/>
        <v>0</v>
      </c>
      <c r="AC21" s="415">
        <f t="shared" si="6"/>
        <v>0</v>
      </c>
      <c r="AD21" s="415">
        <f t="shared" si="7"/>
        <v>0</v>
      </c>
    </row>
    <row r="22" spans="2:31" ht="15.75" thickBot="1" x14ac:dyDescent="0.25">
      <c r="B22" s="362"/>
      <c r="C22" s="425"/>
      <c r="D22" s="426"/>
      <c r="E22" s="427"/>
      <c r="F22" s="428"/>
      <c r="G22" s="429"/>
      <c r="H22" s="427"/>
      <c r="I22" s="428"/>
      <c r="J22" s="430"/>
      <c r="K22" s="427"/>
      <c r="L22" s="428"/>
      <c r="M22" s="431"/>
      <c r="N22" s="427"/>
      <c r="O22" s="428"/>
      <c r="P22" s="421"/>
      <c r="Q22" s="421"/>
      <c r="R22" s="421"/>
      <c r="S22" s="421"/>
      <c r="T22" s="421"/>
      <c r="U22" s="422"/>
      <c r="V22" s="412">
        <f t="shared" si="0"/>
        <v>0</v>
      </c>
      <c r="W22" s="412">
        <f t="shared" si="1"/>
        <v>0</v>
      </c>
      <c r="X22" s="412">
        <f t="shared" si="2"/>
        <v>0</v>
      </c>
      <c r="Y22" s="412">
        <f t="shared" si="3"/>
        <v>0</v>
      </c>
      <c r="Z22" s="423"/>
      <c r="AA22" s="414">
        <f t="shared" si="4"/>
        <v>0</v>
      </c>
      <c r="AB22" s="415">
        <f t="shared" si="5"/>
        <v>0</v>
      </c>
      <c r="AC22" s="415">
        <f t="shared" si="6"/>
        <v>0</v>
      </c>
      <c r="AD22" s="415">
        <f t="shared" si="7"/>
        <v>0</v>
      </c>
    </row>
    <row r="23" spans="2:31" ht="15.75" thickBot="1" x14ac:dyDescent="0.25">
      <c r="B23" s="362"/>
      <c r="C23" s="432"/>
      <c r="D23" s="433"/>
      <c r="E23" s="433">
        <f>COUNTA(F12:F22)</f>
        <v>0</v>
      </c>
      <c r="F23" s="434"/>
      <c r="G23" s="434"/>
      <c r="H23" s="433">
        <f>COUNTA(I12:I22)</f>
        <v>8</v>
      </c>
      <c r="I23" s="434"/>
      <c r="J23" s="434"/>
      <c r="K23" s="423">
        <f>COUNTA(L12:L22)</f>
        <v>0</v>
      </c>
      <c r="L23" s="434"/>
      <c r="M23" s="434"/>
      <c r="N23" s="423">
        <f>COUNTA(O12:O22)</f>
        <v>0</v>
      </c>
      <c r="O23" s="434"/>
      <c r="P23" s="434"/>
      <c r="Q23" s="434"/>
      <c r="R23" s="434"/>
      <c r="S23" s="434"/>
      <c r="T23" s="434"/>
      <c r="U23" s="435">
        <v>1</v>
      </c>
      <c r="V23" s="412">
        <f>COUNTIF(V12:V22,U23)</f>
        <v>0</v>
      </c>
      <c r="W23" s="412">
        <f>COUNTIF(W12:W22,U23)</f>
        <v>7</v>
      </c>
      <c r="X23" s="412">
        <f>COUNTIF(X12:X22,U23)</f>
        <v>0</v>
      </c>
      <c r="Y23" s="412">
        <f>COUNTIF(Y12:Y22,U23)</f>
        <v>0</v>
      </c>
      <c r="Z23" s="339">
        <v>1</v>
      </c>
      <c r="AA23" s="436">
        <f>COUNTIF(AA12:AA22,Z23)</f>
        <v>0</v>
      </c>
      <c r="AB23" s="436">
        <f>COUNTIF(AB12:AB22,Z23)</f>
        <v>5</v>
      </c>
      <c r="AC23" s="436">
        <f>COUNTIF(AC12:AC22,Z23)</f>
        <v>0</v>
      </c>
      <c r="AD23" s="436">
        <f>COUNTIF(AD12:AD22,Z23)</f>
        <v>0</v>
      </c>
      <c r="AE23" s="339"/>
    </row>
    <row r="24" spans="2:31" ht="15" x14ac:dyDescent="0.2">
      <c r="B24" s="362"/>
      <c r="C24" s="437" t="s">
        <v>158</v>
      </c>
      <c r="D24" s="438" t="e">
        <f>AVERAGE(F12:F22)</f>
        <v>#DIV/0!</v>
      </c>
      <c r="E24" s="439"/>
      <c r="F24" s="440"/>
      <c r="G24" s="438">
        <f>AVERAGE(I12:I22)</f>
        <v>0.90874999999999995</v>
      </c>
      <c r="H24" s="439"/>
      <c r="I24" s="440"/>
      <c r="J24" s="438" t="e">
        <f>AVERAGE(L12:L22)</f>
        <v>#DIV/0!</v>
      </c>
      <c r="K24" s="439"/>
      <c r="L24" s="440"/>
      <c r="M24" s="438" t="e">
        <f>AVERAGE(O12:O22)</f>
        <v>#DIV/0!</v>
      </c>
      <c r="N24" s="439"/>
      <c r="O24" s="440"/>
      <c r="P24" s="441"/>
      <c r="Q24" s="441"/>
      <c r="R24" s="441"/>
      <c r="S24" s="441"/>
      <c r="T24" s="441"/>
      <c r="U24" s="442"/>
      <c r="V24" s="443"/>
      <c r="W24" s="443"/>
      <c r="X24" s="443"/>
      <c r="Y24" s="443"/>
    </row>
    <row r="25" spans="2:31" ht="15" x14ac:dyDescent="0.2">
      <c r="B25" s="362"/>
      <c r="C25" s="444" t="s">
        <v>159</v>
      </c>
      <c r="D25" s="445" t="e">
        <f>AA23/E23</f>
        <v>#DIV/0!</v>
      </c>
      <c r="E25" s="446"/>
      <c r="F25" s="447"/>
      <c r="G25" s="445">
        <f>AB23/H23</f>
        <v>0.625</v>
      </c>
      <c r="H25" s="446"/>
      <c r="I25" s="447"/>
      <c r="J25" s="445" t="e">
        <f>AC23/K23</f>
        <v>#DIV/0!</v>
      </c>
      <c r="K25" s="446"/>
      <c r="L25" s="447"/>
      <c r="M25" s="445" t="e">
        <f>AD23/N23</f>
        <v>#DIV/0!</v>
      </c>
      <c r="N25" s="446"/>
      <c r="O25" s="447"/>
      <c r="P25" s="441"/>
      <c r="Q25" s="441"/>
      <c r="R25" s="441"/>
      <c r="S25" s="441"/>
      <c r="T25" s="441"/>
      <c r="U25" s="442"/>
      <c r="V25" s="443"/>
      <c r="W25" s="443"/>
      <c r="X25" s="443"/>
      <c r="Y25" s="443"/>
      <c r="AA25" s="436"/>
      <c r="AB25" s="436"/>
      <c r="AC25" s="436"/>
      <c r="AD25" s="436"/>
    </row>
    <row r="26" spans="2:31" ht="15.75" thickBot="1" x14ac:dyDescent="0.25">
      <c r="B26" s="362"/>
      <c r="C26" s="448" t="s">
        <v>160</v>
      </c>
      <c r="D26" s="449" t="e">
        <f>100%-D25</f>
        <v>#DIV/0!</v>
      </c>
      <c r="E26" s="450"/>
      <c r="F26" s="451"/>
      <c r="G26" s="449">
        <f>100%-G25</f>
        <v>0.375</v>
      </c>
      <c r="H26" s="450"/>
      <c r="I26" s="451"/>
      <c r="J26" s="449" t="e">
        <f>100%-J25</f>
        <v>#DIV/0!</v>
      </c>
      <c r="K26" s="450"/>
      <c r="L26" s="451"/>
      <c r="M26" s="449" t="e">
        <f>100%-M25</f>
        <v>#DIV/0!</v>
      </c>
      <c r="N26" s="450"/>
      <c r="O26" s="451"/>
      <c r="P26" s="441"/>
      <c r="Q26" s="441"/>
      <c r="R26" s="441"/>
      <c r="S26" s="441"/>
      <c r="T26" s="441"/>
      <c r="U26" s="452"/>
      <c r="V26" s="443"/>
      <c r="W26" s="443"/>
      <c r="X26" s="443"/>
      <c r="Y26" s="443"/>
    </row>
    <row r="27" spans="2:31" ht="15.75" thickBot="1" x14ac:dyDescent="0.25">
      <c r="B27" s="362"/>
      <c r="C27" s="453"/>
      <c r="D27" s="453"/>
      <c r="E27" s="454">
        <f>SUM(V12:V22)</f>
        <v>0</v>
      </c>
      <c r="F27" s="454"/>
      <c r="G27" s="455"/>
      <c r="H27" s="454">
        <f>SUM(W12:W22)</f>
        <v>7.5</v>
      </c>
      <c r="I27" s="454"/>
      <c r="J27" s="455"/>
      <c r="K27" s="454">
        <f>SUM(X12:X22)</f>
        <v>0</v>
      </c>
      <c r="L27" s="454"/>
      <c r="M27" s="455"/>
      <c r="N27" s="454">
        <f>SUM(Y12:Y22)</f>
        <v>0</v>
      </c>
      <c r="O27" s="454"/>
      <c r="P27" s="455"/>
      <c r="Q27" s="455"/>
      <c r="R27" s="455"/>
      <c r="S27" s="455"/>
      <c r="T27" s="455"/>
      <c r="U27" s="456"/>
      <c r="V27" s="457"/>
      <c r="W27" s="457"/>
      <c r="X27" s="457"/>
      <c r="Y27" s="457"/>
      <c r="Z27" s="423"/>
    </row>
    <row r="28" spans="2:31" ht="15.75" thickBot="1" x14ac:dyDescent="0.25">
      <c r="B28" s="362"/>
      <c r="C28" s="458" t="s">
        <v>161</v>
      </c>
      <c r="D28" s="459" t="e">
        <f>E27/E23</f>
        <v>#DIV/0!</v>
      </c>
      <c r="E28" s="460"/>
      <c r="F28" s="461"/>
      <c r="G28" s="459">
        <f>H27/H23</f>
        <v>0.9375</v>
      </c>
      <c r="H28" s="460"/>
      <c r="I28" s="461"/>
      <c r="J28" s="459" t="e">
        <f>K27/K23</f>
        <v>#DIV/0!</v>
      </c>
      <c r="K28" s="460"/>
      <c r="L28" s="461"/>
      <c r="M28" s="459" t="e">
        <f>N27/N23</f>
        <v>#DIV/0!</v>
      </c>
      <c r="N28" s="460"/>
      <c r="O28" s="462"/>
      <c r="P28" s="441"/>
      <c r="Q28" s="441"/>
      <c r="R28" s="441"/>
      <c r="S28" s="441"/>
      <c r="T28" s="441"/>
      <c r="U28" s="463"/>
      <c r="V28" s="464"/>
      <c r="W28" s="464"/>
      <c r="X28" s="464"/>
      <c r="Y28" s="464"/>
      <c r="Z28" s="465"/>
      <c r="AA28" s="466"/>
      <c r="AB28" s="467"/>
      <c r="AC28" s="467"/>
      <c r="AD28" s="467"/>
      <c r="AE28" s="467"/>
    </row>
    <row r="29" spans="2:31" x14ac:dyDescent="0.2">
      <c r="B29" s="362"/>
      <c r="C29" s="339" t="s">
        <v>162</v>
      </c>
      <c r="D29" s="339">
        <f>SUM(F12:F22)</f>
        <v>0</v>
      </c>
      <c r="E29" s="339"/>
      <c r="F29" s="339">
        <f>SUM(H12:H22)</f>
        <v>15</v>
      </c>
      <c r="G29" s="339"/>
      <c r="H29" s="339">
        <f>SUM(I12:I22)</f>
        <v>7.27</v>
      </c>
      <c r="I29" s="339">
        <f>SUM(O12:O22)</f>
        <v>0</v>
      </c>
      <c r="J29" s="339"/>
      <c r="K29" s="339"/>
      <c r="L29" s="339"/>
      <c r="M29" s="339"/>
      <c r="N29" s="339"/>
      <c r="O29" s="468"/>
      <c r="P29" s="469"/>
      <c r="Q29" s="469"/>
      <c r="R29" s="469"/>
      <c r="S29" s="469"/>
      <c r="T29" s="469"/>
      <c r="U29" s="470"/>
      <c r="V29" s="471"/>
      <c r="W29" s="471"/>
      <c r="X29" s="471"/>
      <c r="Y29" s="471"/>
      <c r="Z29" s="471"/>
      <c r="AA29" s="466"/>
      <c r="AB29" s="467"/>
      <c r="AC29" s="467"/>
      <c r="AD29" s="467"/>
      <c r="AE29" s="467"/>
    </row>
    <row r="30" spans="2:31" ht="15" x14ac:dyDescent="0.2">
      <c r="B30" s="362"/>
      <c r="C30" s="472" t="s">
        <v>163</v>
      </c>
      <c r="D30" s="473"/>
      <c r="E30" s="473"/>
      <c r="F30" s="473"/>
      <c r="G30" s="473"/>
      <c r="H30" s="473"/>
      <c r="I30" s="473"/>
      <c r="J30" s="473"/>
      <c r="K30" s="473"/>
      <c r="L30" s="473"/>
      <c r="M30" s="473"/>
      <c r="N30" s="473"/>
      <c r="O30" s="474"/>
      <c r="P30" s="475"/>
      <c r="Q30" s="475"/>
      <c r="R30" s="475"/>
      <c r="S30" s="475"/>
      <c r="T30" s="475"/>
      <c r="U30" s="476"/>
      <c r="V30" s="477"/>
      <c r="W30" s="477"/>
      <c r="X30" s="477"/>
      <c r="Y30" s="477"/>
      <c r="Z30" s="477"/>
    </row>
    <row r="31" spans="2:31" ht="15" x14ac:dyDescent="0.2">
      <c r="B31" s="362"/>
      <c r="C31" s="478" t="s">
        <v>12</v>
      </c>
      <c r="D31" s="479">
        <v>1</v>
      </c>
      <c r="E31" s="480"/>
      <c r="F31" s="481"/>
      <c r="G31" s="479">
        <v>1</v>
      </c>
      <c r="H31" s="480"/>
      <c r="I31" s="481"/>
      <c r="J31" s="479">
        <v>1</v>
      </c>
      <c r="K31" s="480"/>
      <c r="L31" s="481"/>
      <c r="M31" s="479">
        <v>1</v>
      </c>
      <c r="N31" s="480"/>
      <c r="O31" s="481"/>
      <c r="P31" s="482"/>
      <c r="Q31" s="482"/>
      <c r="R31" s="482"/>
      <c r="S31" s="482"/>
      <c r="T31" s="482"/>
      <c r="U31" s="483"/>
      <c r="V31" s="484"/>
      <c r="W31" s="484"/>
      <c r="X31" s="484"/>
      <c r="Y31" s="484"/>
      <c r="Z31" s="484"/>
    </row>
    <row r="32" spans="2:31" ht="15" x14ac:dyDescent="0.2">
      <c r="B32" s="362"/>
      <c r="C32" s="485" t="s">
        <v>10</v>
      </c>
      <c r="D32" s="479">
        <v>0</v>
      </c>
      <c r="E32" s="480"/>
      <c r="F32" s="481"/>
      <c r="G32" s="479">
        <v>0</v>
      </c>
      <c r="H32" s="480"/>
      <c r="I32" s="481"/>
      <c r="J32" s="479">
        <v>0</v>
      </c>
      <c r="K32" s="480"/>
      <c r="L32" s="481"/>
      <c r="M32" s="479">
        <v>0</v>
      </c>
      <c r="N32" s="480"/>
      <c r="O32" s="481"/>
      <c r="P32" s="486"/>
      <c r="Q32" s="486"/>
      <c r="R32" s="486"/>
      <c r="S32" s="486"/>
      <c r="T32" s="486"/>
      <c r="U32" s="487"/>
      <c r="V32" s="488"/>
      <c r="W32" s="488"/>
      <c r="X32" s="488"/>
      <c r="Y32" s="488"/>
      <c r="Z32" s="488"/>
    </row>
    <row r="33" spans="2:39" ht="15" x14ac:dyDescent="0.2">
      <c r="B33" s="362"/>
      <c r="C33" s="485" t="s">
        <v>164</v>
      </c>
      <c r="D33" s="479">
        <v>0</v>
      </c>
      <c r="E33" s="480"/>
      <c r="F33" s="481"/>
      <c r="G33" s="479">
        <v>0</v>
      </c>
      <c r="H33" s="480"/>
      <c r="I33" s="481"/>
      <c r="J33" s="479">
        <v>0</v>
      </c>
      <c r="K33" s="480"/>
      <c r="L33" s="481"/>
      <c r="M33" s="479">
        <v>0</v>
      </c>
      <c r="N33" s="480"/>
      <c r="O33" s="481"/>
      <c r="P33" s="486"/>
      <c r="Q33" s="486"/>
      <c r="R33" s="486"/>
      <c r="S33" s="486"/>
      <c r="T33" s="486"/>
      <c r="U33" s="487"/>
      <c r="V33" s="488"/>
      <c r="W33" s="488"/>
      <c r="X33" s="488"/>
      <c r="Y33" s="488"/>
      <c r="Z33" s="488"/>
    </row>
    <row r="34" spans="2:39" x14ac:dyDescent="0.2">
      <c r="B34" s="362"/>
      <c r="C34" s="468"/>
      <c r="D34" s="468"/>
      <c r="E34" s="468"/>
      <c r="F34" s="468"/>
      <c r="G34" s="468"/>
      <c r="H34" s="468"/>
      <c r="I34" s="468"/>
      <c r="J34" s="468"/>
      <c r="K34" s="468"/>
      <c r="L34" s="468"/>
      <c r="M34" s="468"/>
      <c r="N34" s="468"/>
      <c r="O34" s="468"/>
      <c r="P34" s="469"/>
      <c r="Q34" s="469"/>
      <c r="R34" s="469"/>
      <c r="S34" s="469"/>
      <c r="T34" s="469"/>
      <c r="U34" s="367"/>
      <c r="V34" s="339"/>
      <c r="W34" s="339"/>
      <c r="X34" s="339"/>
      <c r="Y34" s="339"/>
    </row>
    <row r="35" spans="2:39" ht="15" thickBot="1" x14ac:dyDescent="0.25">
      <c r="B35" s="489"/>
      <c r="C35" s="490"/>
      <c r="D35" s="490"/>
      <c r="E35" s="490"/>
      <c r="F35" s="490"/>
      <c r="G35" s="490"/>
      <c r="H35" s="490"/>
      <c r="I35" s="490"/>
      <c r="J35" s="490"/>
      <c r="K35" s="490"/>
      <c r="L35" s="490"/>
      <c r="M35" s="490"/>
      <c r="N35" s="490"/>
      <c r="O35" s="490"/>
      <c r="P35" s="491"/>
      <c r="Q35" s="491"/>
      <c r="R35" s="491"/>
      <c r="S35" s="491"/>
      <c r="T35" s="491"/>
      <c r="U35" s="492"/>
    </row>
    <row r="36" spans="2:39" x14ac:dyDescent="0.2">
      <c r="C36" s="336"/>
      <c r="D36" s="336"/>
      <c r="E36" s="336"/>
      <c r="F36" s="336"/>
      <c r="G36" s="336"/>
      <c r="H36" s="336"/>
      <c r="I36" s="336"/>
      <c r="J36" s="336"/>
      <c r="K36" s="336"/>
      <c r="L36" s="336"/>
      <c r="M36" s="336"/>
      <c r="N36" s="336"/>
      <c r="O36" s="336"/>
    </row>
    <row r="37" spans="2:39" x14ac:dyDescent="0.2">
      <c r="C37" s="337"/>
      <c r="D37" s="337"/>
      <c r="E37" s="337"/>
      <c r="F37" s="338"/>
      <c r="G37" s="338"/>
      <c r="H37" s="338"/>
      <c r="I37" s="338"/>
      <c r="J37" s="338"/>
      <c r="K37" s="339"/>
      <c r="L37" s="340"/>
      <c r="M37" s="338"/>
      <c r="N37" s="338"/>
      <c r="O37" s="338"/>
      <c r="P37" s="338"/>
      <c r="Q37" s="336"/>
      <c r="R37" s="336"/>
      <c r="S37" s="336"/>
      <c r="T37" s="336"/>
      <c r="U37" s="336"/>
      <c r="V37" s="336"/>
      <c r="W37" s="336"/>
      <c r="X37" s="336"/>
      <c r="Y37" s="374"/>
      <c r="Z37" s="374"/>
      <c r="AA37" s="374"/>
      <c r="AB37" s="374"/>
      <c r="AC37" s="374"/>
      <c r="AD37" s="374"/>
      <c r="AE37" s="374"/>
      <c r="AF37" s="374"/>
      <c r="AG37" s="374"/>
      <c r="AH37" s="374"/>
      <c r="AI37" s="374"/>
      <c r="AJ37" s="374"/>
      <c r="AK37" s="374"/>
      <c r="AL37" s="374"/>
      <c r="AM37" s="374"/>
    </row>
    <row r="38" spans="2:39" x14ac:dyDescent="0.2">
      <c r="C38" s="338"/>
      <c r="D38" s="338"/>
      <c r="E38" s="336"/>
      <c r="F38" s="336"/>
      <c r="G38" s="336"/>
      <c r="H38" s="336"/>
      <c r="I38" s="336"/>
      <c r="J38" s="336"/>
      <c r="K38" s="336"/>
      <c r="L38" s="336"/>
      <c r="M38" s="336"/>
      <c r="P38" s="374"/>
      <c r="Q38" s="374"/>
      <c r="R38" s="374"/>
      <c r="S38" s="374"/>
      <c r="T38" s="374"/>
      <c r="U38" s="374"/>
      <c r="V38" s="374"/>
      <c r="W38" s="374"/>
      <c r="X38" s="374"/>
      <c r="Y38" s="374"/>
      <c r="Z38" s="374"/>
      <c r="AA38" s="374"/>
      <c r="AB38" s="374"/>
      <c r="AC38" s="374"/>
      <c r="AD38" s="374"/>
      <c r="AE38" s="374"/>
      <c r="AF38" s="374"/>
      <c r="AG38" s="374"/>
      <c r="AH38" s="374"/>
      <c r="AI38" s="374"/>
      <c r="AJ38" s="374"/>
      <c r="AK38" s="374"/>
      <c r="AL38" s="374"/>
      <c r="AM38" s="374"/>
    </row>
    <row r="39" spans="2:39" x14ac:dyDescent="0.2">
      <c r="C39" s="336"/>
      <c r="D39" s="336"/>
      <c r="E39" s="336"/>
      <c r="F39" s="336"/>
      <c r="G39" s="336"/>
      <c r="H39" s="336"/>
      <c r="I39" s="336"/>
      <c r="J39" s="336"/>
      <c r="P39" s="374"/>
      <c r="Q39" s="374"/>
      <c r="R39" s="374"/>
      <c r="S39" s="374"/>
      <c r="T39" s="374"/>
      <c r="U39" s="374"/>
      <c r="V39" s="374"/>
      <c r="W39" s="374"/>
      <c r="X39" s="374"/>
      <c r="Y39" s="374"/>
      <c r="Z39" s="374"/>
      <c r="AA39" s="374"/>
      <c r="AB39" s="374"/>
      <c r="AC39" s="374"/>
      <c r="AD39" s="374"/>
      <c r="AE39" s="374"/>
      <c r="AF39" s="374"/>
      <c r="AG39" s="374"/>
      <c r="AH39" s="374"/>
      <c r="AI39" s="374"/>
      <c r="AJ39" s="374"/>
      <c r="AK39" s="374"/>
      <c r="AL39" s="374"/>
      <c r="AM39" s="374"/>
    </row>
    <row r="40" spans="2:39" x14ac:dyDescent="0.2">
      <c r="C40" s="336"/>
      <c r="D40" s="336"/>
      <c r="P40" s="374"/>
      <c r="Q40" s="374"/>
      <c r="R40" s="374"/>
      <c r="S40" s="374"/>
      <c r="T40" s="374"/>
      <c r="U40" s="374"/>
      <c r="V40" s="374"/>
      <c r="W40" s="374"/>
      <c r="X40" s="374"/>
      <c r="Y40" s="374"/>
      <c r="Z40" s="374"/>
      <c r="AA40" s="374"/>
      <c r="AB40" s="374"/>
      <c r="AC40" s="374"/>
      <c r="AD40" s="374"/>
      <c r="AE40" s="374"/>
      <c r="AF40" s="374"/>
      <c r="AG40" s="374"/>
      <c r="AH40" s="374"/>
      <c r="AI40" s="374"/>
      <c r="AJ40" s="374"/>
      <c r="AK40" s="374"/>
      <c r="AL40" s="374"/>
      <c r="AM40" s="374"/>
    </row>
    <row r="41" spans="2:39" x14ac:dyDescent="0.2">
      <c r="C41" s="336"/>
      <c r="D41" s="336"/>
      <c r="P41" s="374"/>
      <c r="Q41" s="374"/>
      <c r="R41" s="374"/>
      <c r="S41" s="374"/>
      <c r="T41" s="374"/>
      <c r="U41" s="374"/>
      <c r="V41" s="374"/>
      <c r="W41" s="374"/>
      <c r="X41" s="374"/>
      <c r="Y41" s="374"/>
      <c r="Z41" s="374"/>
      <c r="AA41" s="374"/>
      <c r="AB41" s="374"/>
      <c r="AC41" s="374"/>
      <c r="AD41" s="374"/>
      <c r="AE41" s="374"/>
      <c r="AF41" s="374"/>
      <c r="AG41" s="374"/>
      <c r="AH41" s="374"/>
      <c r="AI41" s="374"/>
      <c r="AJ41" s="374"/>
      <c r="AK41" s="374"/>
      <c r="AL41" s="374"/>
      <c r="AM41" s="374"/>
    </row>
    <row r="42" spans="2:39" x14ac:dyDescent="0.2">
      <c r="C42" s="336"/>
      <c r="D42" s="336"/>
      <c r="P42" s="374"/>
      <c r="Q42" s="374"/>
      <c r="R42" s="374"/>
      <c r="S42" s="374"/>
      <c r="T42" s="374"/>
      <c r="U42" s="374"/>
      <c r="V42" s="374"/>
      <c r="W42" s="374"/>
      <c r="X42" s="374"/>
      <c r="Y42" s="374"/>
      <c r="Z42" s="374"/>
      <c r="AA42" s="374"/>
      <c r="AB42" s="374"/>
      <c r="AC42" s="374"/>
      <c r="AD42" s="374"/>
      <c r="AE42" s="374"/>
      <c r="AF42" s="374"/>
      <c r="AG42" s="374"/>
      <c r="AH42" s="374"/>
      <c r="AI42" s="374"/>
      <c r="AJ42" s="374"/>
      <c r="AK42" s="374"/>
      <c r="AL42" s="374"/>
      <c r="AM42" s="374"/>
    </row>
    <row r="43" spans="2:39" x14ac:dyDescent="0.2">
      <c r="C43" s="336"/>
      <c r="D43" s="336"/>
      <c r="P43" s="374"/>
      <c r="Q43" s="374"/>
      <c r="R43" s="374"/>
      <c r="S43" s="374"/>
      <c r="T43" s="374"/>
      <c r="U43" s="374"/>
      <c r="V43" s="374"/>
      <c r="W43" s="374"/>
      <c r="X43" s="374"/>
      <c r="Y43" s="374"/>
      <c r="Z43" s="374"/>
      <c r="AA43" s="374"/>
      <c r="AB43" s="374"/>
      <c r="AC43" s="374"/>
      <c r="AD43" s="374"/>
      <c r="AE43" s="374"/>
      <c r="AF43" s="374"/>
      <c r="AG43" s="374"/>
      <c r="AH43" s="374"/>
      <c r="AI43" s="374"/>
      <c r="AJ43" s="374"/>
      <c r="AK43" s="374"/>
      <c r="AL43" s="374"/>
      <c r="AM43" s="374"/>
    </row>
    <row r="44" spans="2:39" x14ac:dyDescent="0.2">
      <c r="C44" s="336"/>
      <c r="D44" s="336"/>
      <c r="P44" s="374"/>
      <c r="Q44" s="374"/>
      <c r="R44" s="374"/>
      <c r="S44" s="374"/>
      <c r="T44" s="374"/>
      <c r="U44" s="374"/>
      <c r="V44" s="374"/>
      <c r="W44" s="374"/>
      <c r="X44" s="374"/>
      <c r="Y44" s="374"/>
      <c r="Z44" s="374"/>
      <c r="AA44" s="374"/>
      <c r="AB44" s="374"/>
      <c r="AC44" s="374"/>
      <c r="AD44" s="374"/>
      <c r="AE44" s="374"/>
      <c r="AF44" s="374"/>
      <c r="AG44" s="374"/>
      <c r="AH44" s="374"/>
      <c r="AI44" s="374"/>
      <c r="AJ44" s="374"/>
      <c r="AK44" s="374"/>
      <c r="AL44" s="374"/>
      <c r="AM44" s="374"/>
    </row>
    <row r="45" spans="2:39" x14ac:dyDescent="0.2">
      <c r="C45" s="336"/>
      <c r="D45" s="336"/>
      <c r="P45" s="374"/>
      <c r="Q45" s="374"/>
      <c r="R45" s="374"/>
      <c r="S45" s="374"/>
      <c r="T45" s="374"/>
      <c r="U45" s="374"/>
      <c r="V45" s="374"/>
      <c r="W45" s="374"/>
      <c r="X45" s="374"/>
      <c r="Y45" s="374"/>
      <c r="Z45" s="374"/>
      <c r="AA45" s="374"/>
      <c r="AB45" s="374"/>
      <c r="AC45" s="374"/>
      <c r="AD45" s="374"/>
      <c r="AE45" s="374"/>
      <c r="AF45" s="374"/>
      <c r="AG45" s="374"/>
      <c r="AH45" s="374"/>
      <c r="AI45" s="374"/>
      <c r="AJ45" s="374"/>
      <c r="AK45" s="374"/>
      <c r="AL45" s="374"/>
      <c r="AM45" s="374"/>
    </row>
    <row r="46" spans="2:39" x14ac:dyDescent="0.2">
      <c r="C46" s="336"/>
      <c r="D46" s="336"/>
      <c r="E46" s="336"/>
      <c r="F46" s="336"/>
      <c r="P46" s="374"/>
      <c r="Q46" s="374"/>
      <c r="R46" s="374"/>
      <c r="S46" s="374"/>
      <c r="T46" s="374"/>
      <c r="U46" s="374"/>
      <c r="V46" s="374"/>
      <c r="W46" s="374"/>
      <c r="X46" s="374"/>
      <c r="Y46" s="374"/>
      <c r="Z46" s="374"/>
      <c r="AA46" s="374"/>
      <c r="AB46" s="374"/>
      <c r="AC46" s="374"/>
      <c r="AD46" s="374"/>
      <c r="AE46" s="374"/>
      <c r="AF46" s="374"/>
      <c r="AG46" s="374"/>
      <c r="AH46" s="374"/>
      <c r="AI46" s="374"/>
      <c r="AJ46" s="374"/>
      <c r="AK46" s="374"/>
      <c r="AL46" s="374"/>
      <c r="AM46" s="374"/>
    </row>
    <row r="47" spans="2:39" x14ac:dyDescent="0.2">
      <c r="C47" s="336"/>
      <c r="D47" s="336"/>
      <c r="E47" s="336"/>
      <c r="F47" s="336"/>
      <c r="P47" s="374"/>
      <c r="Q47" s="374"/>
      <c r="R47" s="374"/>
      <c r="S47" s="374"/>
      <c r="T47" s="374"/>
      <c r="U47" s="374"/>
      <c r="V47" s="374"/>
      <c r="W47" s="374"/>
      <c r="X47" s="374"/>
      <c r="Y47" s="374"/>
      <c r="Z47" s="374"/>
      <c r="AA47" s="374"/>
      <c r="AB47" s="374"/>
      <c r="AC47" s="374"/>
      <c r="AD47" s="374"/>
      <c r="AE47" s="374"/>
      <c r="AF47" s="374"/>
      <c r="AG47" s="374"/>
      <c r="AH47" s="374"/>
      <c r="AI47" s="374"/>
      <c r="AJ47" s="374"/>
      <c r="AK47" s="374"/>
      <c r="AL47" s="374"/>
      <c r="AM47" s="374"/>
    </row>
    <row r="48" spans="2:39" x14ac:dyDescent="0.2">
      <c r="C48" s="336"/>
      <c r="D48" s="336"/>
      <c r="E48" s="336"/>
      <c r="F48" s="336"/>
      <c r="P48" s="374"/>
      <c r="Q48" s="374"/>
      <c r="R48" s="374"/>
      <c r="S48" s="374"/>
      <c r="T48" s="374"/>
      <c r="U48" s="374"/>
      <c r="V48" s="374"/>
      <c r="W48" s="374"/>
      <c r="X48" s="374"/>
      <c r="Y48" s="374"/>
      <c r="Z48" s="374"/>
      <c r="AA48" s="374"/>
      <c r="AB48" s="374"/>
      <c r="AC48" s="374"/>
      <c r="AD48" s="374"/>
      <c r="AE48" s="374"/>
      <c r="AF48" s="374"/>
      <c r="AG48" s="374"/>
      <c r="AH48" s="374"/>
      <c r="AI48" s="374"/>
      <c r="AJ48" s="374"/>
      <c r="AK48" s="374"/>
      <c r="AL48" s="374"/>
      <c r="AM48" s="374"/>
    </row>
    <row r="49" spans="3:39" x14ac:dyDescent="0.2">
      <c r="C49" s="336"/>
      <c r="D49" s="336"/>
      <c r="E49" s="336"/>
      <c r="F49" s="336"/>
      <c r="G49" s="336"/>
      <c r="H49" s="336"/>
      <c r="P49" s="374"/>
      <c r="Q49" s="374"/>
      <c r="R49" s="374"/>
      <c r="S49" s="374"/>
      <c r="T49" s="374"/>
      <c r="U49" s="374"/>
      <c r="V49" s="374"/>
      <c r="W49" s="374"/>
      <c r="X49" s="374"/>
      <c r="Y49" s="374"/>
      <c r="Z49" s="374"/>
      <c r="AA49" s="374"/>
      <c r="AB49" s="374"/>
      <c r="AC49" s="374"/>
      <c r="AD49" s="374"/>
      <c r="AE49" s="374"/>
      <c r="AF49" s="374"/>
      <c r="AG49" s="374"/>
      <c r="AH49" s="374"/>
      <c r="AI49" s="374"/>
      <c r="AJ49" s="374"/>
      <c r="AK49" s="374"/>
      <c r="AL49" s="374"/>
      <c r="AM49" s="374"/>
    </row>
    <row r="50" spans="3:39" x14ac:dyDescent="0.2">
      <c r="C50" s="336"/>
      <c r="D50" s="336"/>
      <c r="E50" s="336"/>
      <c r="F50" s="336"/>
      <c r="G50" s="336"/>
      <c r="H50" s="336"/>
      <c r="I50" s="336"/>
      <c r="J50" s="336"/>
      <c r="P50" s="374"/>
      <c r="Q50" s="374"/>
      <c r="R50" s="374"/>
      <c r="S50" s="374"/>
      <c r="T50" s="374"/>
      <c r="U50" s="374"/>
      <c r="V50" s="374"/>
      <c r="W50" s="374"/>
      <c r="X50" s="374"/>
      <c r="Y50" s="374"/>
      <c r="Z50" s="374"/>
      <c r="AA50" s="374"/>
      <c r="AB50" s="374"/>
      <c r="AC50" s="374"/>
      <c r="AD50" s="374"/>
      <c r="AE50" s="374"/>
      <c r="AF50" s="374"/>
      <c r="AG50" s="374"/>
      <c r="AH50" s="374"/>
      <c r="AI50" s="374"/>
      <c r="AJ50" s="374"/>
      <c r="AK50" s="374"/>
      <c r="AL50" s="374"/>
      <c r="AM50" s="374"/>
    </row>
    <row r="51" spans="3:39" x14ac:dyDescent="0.2">
      <c r="C51" s="336"/>
      <c r="D51" s="336"/>
      <c r="E51" s="336"/>
      <c r="F51" s="336"/>
      <c r="G51" s="336"/>
      <c r="H51" s="336"/>
      <c r="I51" s="336"/>
      <c r="J51" s="336"/>
      <c r="P51" s="374"/>
      <c r="Q51" s="374"/>
      <c r="R51" s="374"/>
      <c r="S51" s="374"/>
      <c r="T51" s="374"/>
      <c r="U51" s="374"/>
      <c r="V51" s="374"/>
      <c r="W51" s="374"/>
      <c r="X51" s="374"/>
      <c r="Y51" s="374"/>
      <c r="Z51" s="374"/>
      <c r="AA51" s="374"/>
      <c r="AB51" s="374"/>
      <c r="AC51" s="374"/>
      <c r="AD51" s="374"/>
      <c r="AE51" s="374"/>
      <c r="AF51" s="374"/>
      <c r="AG51" s="374"/>
      <c r="AH51" s="374"/>
      <c r="AI51" s="374"/>
      <c r="AJ51" s="374"/>
      <c r="AK51" s="374"/>
      <c r="AL51" s="374"/>
      <c r="AM51" s="374"/>
    </row>
    <row r="52" spans="3:39" x14ac:dyDescent="0.2">
      <c r="C52" s="338"/>
      <c r="D52" s="338"/>
      <c r="E52" s="339"/>
      <c r="F52" s="340"/>
      <c r="G52" s="338"/>
      <c r="H52" s="338"/>
      <c r="I52" s="338"/>
      <c r="J52" s="338"/>
      <c r="K52" s="336"/>
      <c r="L52" s="336"/>
      <c r="M52" s="336"/>
      <c r="N52" s="336"/>
      <c r="O52" s="336"/>
      <c r="P52" s="336"/>
      <c r="Q52" s="336"/>
      <c r="R52" s="336"/>
      <c r="S52" s="374"/>
      <c r="T52" s="374"/>
      <c r="U52" s="374"/>
      <c r="V52" s="374"/>
      <c r="W52" s="374"/>
      <c r="X52" s="374"/>
      <c r="Y52" s="374"/>
      <c r="Z52" s="374"/>
      <c r="AA52" s="374"/>
      <c r="AB52" s="374"/>
      <c r="AC52" s="374"/>
      <c r="AD52" s="374"/>
      <c r="AE52" s="374"/>
      <c r="AF52" s="374"/>
      <c r="AG52" s="374"/>
      <c r="AH52" s="374"/>
      <c r="AI52" s="374"/>
      <c r="AJ52" s="374"/>
      <c r="AK52" s="374"/>
      <c r="AL52" s="374"/>
      <c r="AM52" s="374"/>
    </row>
    <row r="53" spans="3:39" x14ac:dyDescent="0.2">
      <c r="C53" s="336"/>
      <c r="D53" s="337"/>
      <c r="E53" s="337"/>
      <c r="F53" s="337"/>
      <c r="G53" s="337"/>
      <c r="H53" s="338"/>
      <c r="I53" s="338"/>
      <c r="J53" s="338"/>
      <c r="K53" s="338"/>
      <c r="L53" s="339"/>
      <c r="M53" s="340"/>
      <c r="N53" s="338"/>
      <c r="O53" s="338"/>
      <c r="P53" s="338"/>
      <c r="Q53" s="338"/>
      <c r="R53" s="336"/>
      <c r="S53" s="336"/>
      <c r="T53" s="336"/>
      <c r="U53" s="336"/>
      <c r="V53" s="336"/>
      <c r="W53" s="336"/>
      <c r="X53" s="336"/>
      <c r="Y53" s="336"/>
      <c r="Z53" s="374"/>
      <c r="AA53" s="374"/>
      <c r="AB53" s="374"/>
      <c r="AC53" s="374"/>
      <c r="AD53" s="374"/>
      <c r="AE53" s="374"/>
      <c r="AF53" s="374"/>
      <c r="AG53" s="374"/>
      <c r="AH53" s="374"/>
      <c r="AI53" s="374"/>
      <c r="AJ53" s="374"/>
      <c r="AK53" s="374"/>
      <c r="AL53" s="374"/>
      <c r="AM53" s="374"/>
    </row>
    <row r="54" spans="3:39" x14ac:dyDescent="0.2">
      <c r="C54" s="336"/>
      <c r="D54" s="336"/>
      <c r="E54" s="336"/>
      <c r="F54" s="336"/>
      <c r="G54" s="336"/>
      <c r="H54" s="336"/>
      <c r="I54" s="336"/>
      <c r="J54" s="337"/>
      <c r="K54" s="337"/>
      <c r="L54" s="337"/>
      <c r="M54" s="337"/>
      <c r="N54" s="337"/>
      <c r="O54" s="338"/>
      <c r="P54" s="338"/>
      <c r="Q54" s="338"/>
      <c r="R54" s="338"/>
      <c r="S54" s="338"/>
      <c r="T54" s="339"/>
      <c r="U54" s="340"/>
      <c r="Z54" s="336"/>
      <c r="AA54" s="336"/>
      <c r="AB54" s="336"/>
      <c r="AC54" s="336"/>
      <c r="AD54" s="336"/>
      <c r="AE54" s="336"/>
      <c r="AH54" s="374"/>
      <c r="AI54" s="374"/>
      <c r="AJ54" s="374"/>
      <c r="AK54" s="374"/>
      <c r="AL54" s="374"/>
      <c r="AM54" s="374"/>
    </row>
    <row r="55" spans="3:39" x14ac:dyDescent="0.2">
      <c r="C55" s="336"/>
      <c r="D55" s="336"/>
      <c r="E55" s="336"/>
      <c r="F55" s="336"/>
      <c r="G55" s="336"/>
      <c r="H55" s="336"/>
      <c r="I55" s="336"/>
      <c r="J55" s="337"/>
      <c r="K55" s="337"/>
      <c r="L55" s="337"/>
      <c r="M55" s="337"/>
      <c r="N55" s="337"/>
      <c r="O55" s="338"/>
      <c r="P55" s="338"/>
      <c r="Q55" s="338"/>
      <c r="R55" s="338"/>
      <c r="S55" s="338"/>
      <c r="T55" s="339"/>
      <c r="U55" s="340"/>
      <c r="Z55" s="336"/>
      <c r="AA55" s="336"/>
      <c r="AB55" s="336"/>
      <c r="AC55" s="336"/>
      <c r="AD55" s="336"/>
      <c r="AE55" s="336"/>
      <c r="AH55" s="374"/>
      <c r="AI55" s="374"/>
      <c r="AJ55" s="374"/>
      <c r="AK55" s="374"/>
      <c r="AL55" s="374"/>
      <c r="AM55" s="374"/>
    </row>
    <row r="56" spans="3:39" x14ac:dyDescent="0.2">
      <c r="C56" s="336"/>
      <c r="D56" s="336"/>
      <c r="E56" s="336"/>
      <c r="F56" s="336"/>
      <c r="G56" s="336"/>
      <c r="H56" s="336"/>
      <c r="I56" s="336"/>
      <c r="J56" s="337"/>
      <c r="K56" s="337"/>
      <c r="L56" s="337"/>
      <c r="M56" s="337"/>
      <c r="N56" s="337"/>
      <c r="O56" s="338"/>
      <c r="P56" s="338"/>
      <c r="Q56" s="338"/>
      <c r="R56" s="338"/>
      <c r="S56" s="338"/>
      <c r="T56" s="339"/>
      <c r="U56" s="340"/>
      <c r="Z56" s="336"/>
      <c r="AA56" s="336"/>
      <c r="AB56" s="336"/>
      <c r="AC56" s="336"/>
      <c r="AD56" s="336"/>
      <c r="AE56" s="336"/>
      <c r="AH56" s="374"/>
      <c r="AI56" s="374"/>
      <c r="AJ56" s="374"/>
      <c r="AK56" s="374"/>
      <c r="AL56" s="374"/>
      <c r="AM56" s="374"/>
    </row>
    <row r="57" spans="3:39" x14ac:dyDescent="0.2">
      <c r="C57" s="336"/>
      <c r="D57" s="336"/>
      <c r="E57" s="336"/>
      <c r="F57" s="336"/>
      <c r="G57" s="336"/>
      <c r="H57" s="336"/>
      <c r="I57" s="336"/>
      <c r="J57" s="336"/>
      <c r="K57" s="336"/>
      <c r="L57" s="337"/>
      <c r="M57" s="337"/>
      <c r="N57" s="337"/>
      <c r="O57" s="337"/>
      <c r="Q57" s="338"/>
      <c r="R57" s="338"/>
      <c r="S57" s="338"/>
      <c r="T57" s="338"/>
      <c r="V57" s="339"/>
      <c r="W57" s="340"/>
      <c r="Z57" s="338"/>
      <c r="AA57" s="338"/>
      <c r="AB57" s="336"/>
      <c r="AC57" s="336"/>
      <c r="AD57" s="336"/>
      <c r="AE57" s="336"/>
      <c r="AJ57" s="374"/>
      <c r="AK57" s="374"/>
      <c r="AL57" s="374"/>
      <c r="AM57" s="374"/>
    </row>
    <row r="58" spans="3:39" x14ac:dyDescent="0.2">
      <c r="C58" s="336"/>
      <c r="D58" s="336"/>
      <c r="E58" s="336"/>
      <c r="F58" s="336"/>
      <c r="G58" s="336"/>
      <c r="H58" s="336"/>
      <c r="I58" s="336"/>
      <c r="J58" s="336"/>
      <c r="K58" s="336"/>
      <c r="L58" s="336"/>
      <c r="M58" s="336"/>
      <c r="N58" s="337"/>
      <c r="O58" s="337"/>
      <c r="S58" s="338"/>
      <c r="T58" s="338"/>
      <c r="X58" s="339"/>
      <c r="Y58" s="340"/>
      <c r="Z58" s="338"/>
      <c r="AA58" s="338"/>
      <c r="AD58" s="336"/>
      <c r="AE58" s="336"/>
      <c r="AL58" s="374"/>
      <c r="AM58" s="374"/>
    </row>
    <row r="59" spans="3:39" x14ac:dyDescent="0.2">
      <c r="C59" s="336"/>
      <c r="D59" s="336"/>
      <c r="E59" s="336"/>
      <c r="F59" s="336"/>
      <c r="G59" s="336"/>
      <c r="H59" s="336"/>
      <c r="I59" s="336"/>
      <c r="J59" s="336"/>
      <c r="K59" s="336"/>
      <c r="L59" s="336"/>
      <c r="M59" s="336"/>
      <c r="N59" s="337"/>
      <c r="O59" s="337"/>
      <c r="S59" s="338"/>
      <c r="T59" s="338"/>
      <c r="X59" s="339"/>
      <c r="Y59" s="340"/>
      <c r="Z59" s="338"/>
      <c r="AA59" s="338"/>
      <c r="AD59" s="336"/>
      <c r="AE59" s="336"/>
      <c r="AL59" s="374"/>
      <c r="AM59" s="374"/>
    </row>
    <row r="60" spans="3:39" x14ac:dyDescent="0.2">
      <c r="C60" s="336"/>
      <c r="D60" s="336"/>
      <c r="E60" s="336"/>
      <c r="F60" s="336"/>
      <c r="G60" s="336"/>
      <c r="H60" s="336"/>
      <c r="I60" s="336"/>
      <c r="J60" s="336"/>
      <c r="K60" s="336"/>
      <c r="L60" s="336"/>
      <c r="M60" s="336"/>
      <c r="N60" s="337"/>
      <c r="O60" s="337"/>
      <c r="S60" s="338"/>
      <c r="T60" s="338"/>
      <c r="X60" s="339"/>
      <c r="Y60" s="340"/>
      <c r="Z60" s="338"/>
      <c r="AA60" s="338"/>
      <c r="AD60" s="336"/>
      <c r="AE60" s="336"/>
      <c r="AL60" s="374"/>
      <c r="AM60" s="374"/>
    </row>
    <row r="61" spans="3:39" x14ac:dyDescent="0.2">
      <c r="C61" s="336"/>
      <c r="D61" s="336"/>
      <c r="E61" s="336"/>
      <c r="F61" s="336"/>
      <c r="G61" s="336"/>
      <c r="H61" s="336"/>
      <c r="I61" s="336"/>
      <c r="J61" s="336"/>
      <c r="K61" s="336"/>
      <c r="L61" s="336"/>
      <c r="M61" s="336"/>
      <c r="N61" s="337"/>
      <c r="O61" s="337"/>
      <c r="S61" s="338"/>
      <c r="T61" s="338"/>
      <c r="X61" s="339"/>
      <c r="Y61" s="340"/>
      <c r="Z61" s="338"/>
      <c r="AA61" s="338"/>
      <c r="AD61" s="336"/>
      <c r="AE61" s="336"/>
      <c r="AL61" s="374"/>
      <c r="AM61" s="374"/>
    </row>
    <row r="62" spans="3:39" x14ac:dyDescent="0.2">
      <c r="C62" s="336"/>
      <c r="D62" s="336"/>
      <c r="E62" s="336"/>
      <c r="F62" s="336"/>
      <c r="G62" s="336"/>
      <c r="H62" s="336"/>
      <c r="I62" s="336"/>
      <c r="J62" s="336"/>
      <c r="K62" s="336"/>
      <c r="L62" s="336"/>
      <c r="M62" s="336"/>
      <c r="N62" s="337"/>
      <c r="O62" s="337"/>
      <c r="S62" s="338"/>
      <c r="T62" s="338"/>
      <c r="X62" s="339"/>
      <c r="Y62" s="340"/>
      <c r="Z62" s="338"/>
      <c r="AA62" s="338"/>
      <c r="AD62" s="336"/>
      <c r="AE62" s="336"/>
      <c r="AL62" s="374"/>
      <c r="AM62" s="374"/>
    </row>
    <row r="63" spans="3:39" x14ac:dyDescent="0.2">
      <c r="C63" s="336"/>
      <c r="D63" s="336"/>
      <c r="E63" s="336"/>
      <c r="F63" s="336"/>
      <c r="G63" s="336"/>
      <c r="H63" s="336"/>
      <c r="I63" s="336"/>
      <c r="J63" s="336"/>
      <c r="K63" s="336"/>
      <c r="L63" s="336"/>
      <c r="M63" s="336"/>
      <c r="N63" s="337"/>
      <c r="O63" s="337"/>
      <c r="S63" s="338"/>
      <c r="T63" s="338"/>
      <c r="X63" s="339"/>
      <c r="Y63" s="340"/>
      <c r="Z63" s="338"/>
      <c r="AA63" s="338"/>
      <c r="AD63" s="336"/>
      <c r="AE63" s="336"/>
      <c r="AL63" s="374"/>
      <c r="AM63" s="374"/>
    </row>
    <row r="64" spans="3:39" x14ac:dyDescent="0.2">
      <c r="C64" s="336"/>
      <c r="D64" s="336"/>
      <c r="E64" s="336"/>
      <c r="F64" s="336"/>
      <c r="G64" s="336"/>
      <c r="H64" s="336"/>
      <c r="I64" s="336"/>
      <c r="J64" s="336"/>
      <c r="K64" s="336"/>
      <c r="L64" s="336"/>
      <c r="M64" s="336"/>
      <c r="N64" s="337"/>
      <c r="O64" s="337"/>
      <c r="S64" s="338"/>
      <c r="T64" s="338"/>
      <c r="X64" s="339"/>
      <c r="Y64" s="340"/>
      <c r="Z64" s="338"/>
      <c r="AA64" s="338"/>
      <c r="AD64" s="336"/>
      <c r="AE64" s="336"/>
      <c r="AL64" s="374"/>
      <c r="AM64" s="374"/>
    </row>
    <row r="65" spans="3:39" x14ac:dyDescent="0.2">
      <c r="C65" s="336"/>
      <c r="D65" s="336"/>
      <c r="E65" s="336"/>
      <c r="F65" s="336"/>
      <c r="G65" s="336"/>
      <c r="H65" s="336"/>
      <c r="I65" s="336"/>
      <c r="J65" s="336"/>
      <c r="K65" s="336"/>
      <c r="L65" s="336"/>
      <c r="M65" s="336"/>
      <c r="N65" s="337"/>
      <c r="O65" s="337"/>
      <c r="S65" s="338"/>
      <c r="T65" s="338"/>
      <c r="X65" s="339"/>
      <c r="Y65" s="340"/>
      <c r="Z65" s="338"/>
      <c r="AA65" s="338"/>
      <c r="AD65" s="336"/>
      <c r="AE65" s="336"/>
      <c r="AL65" s="374"/>
      <c r="AM65" s="374"/>
    </row>
    <row r="66" spans="3:39" x14ac:dyDescent="0.2">
      <c r="C66" s="336"/>
      <c r="D66" s="336"/>
      <c r="E66" s="336"/>
      <c r="F66" s="336"/>
      <c r="G66" s="336"/>
      <c r="H66" s="336"/>
      <c r="I66" s="336"/>
      <c r="J66" s="336"/>
      <c r="K66" s="336"/>
      <c r="L66" s="336"/>
      <c r="M66" s="336"/>
      <c r="N66" s="337"/>
      <c r="O66" s="337"/>
      <c r="S66" s="338"/>
      <c r="T66" s="338"/>
      <c r="X66" s="339"/>
      <c r="Y66" s="340"/>
      <c r="Z66" s="338"/>
      <c r="AA66" s="338"/>
      <c r="AD66" s="336"/>
      <c r="AE66" s="336"/>
      <c r="AL66" s="374"/>
      <c r="AM66" s="374"/>
    </row>
    <row r="67" spans="3:39" x14ac:dyDescent="0.2">
      <c r="C67" s="336"/>
      <c r="D67" s="336"/>
      <c r="E67" s="336"/>
      <c r="F67" s="336"/>
      <c r="G67" s="336"/>
      <c r="H67" s="336"/>
      <c r="I67" s="336"/>
      <c r="J67" s="336"/>
      <c r="K67" s="336"/>
      <c r="L67" s="336"/>
      <c r="M67" s="336"/>
      <c r="N67" s="337"/>
      <c r="O67" s="337"/>
      <c r="S67" s="338"/>
      <c r="T67" s="338"/>
      <c r="X67" s="339"/>
      <c r="Y67" s="340"/>
      <c r="Z67" s="338"/>
      <c r="AA67" s="338"/>
      <c r="AD67" s="336"/>
      <c r="AE67" s="336"/>
      <c r="AL67" s="374"/>
      <c r="AM67" s="374"/>
    </row>
    <row r="68" spans="3:39" x14ac:dyDescent="0.2">
      <c r="C68" s="336"/>
      <c r="D68" s="336"/>
      <c r="E68" s="336"/>
      <c r="F68" s="336"/>
      <c r="G68" s="336"/>
      <c r="H68" s="336"/>
      <c r="I68" s="336"/>
      <c r="J68" s="336"/>
      <c r="K68" s="336"/>
      <c r="L68" s="336"/>
      <c r="M68" s="336"/>
      <c r="N68" s="337"/>
      <c r="O68" s="337"/>
      <c r="S68" s="338"/>
      <c r="T68" s="338"/>
      <c r="X68" s="339"/>
      <c r="Y68" s="340"/>
      <c r="Z68" s="338"/>
      <c r="AA68" s="338"/>
      <c r="AD68" s="336"/>
      <c r="AE68" s="336"/>
      <c r="AL68" s="374"/>
      <c r="AM68" s="374"/>
    </row>
    <row r="69" spans="3:39" x14ac:dyDescent="0.2">
      <c r="C69" s="336"/>
      <c r="D69" s="336"/>
      <c r="E69" s="336"/>
      <c r="F69" s="336"/>
      <c r="G69" s="336"/>
      <c r="H69" s="336"/>
      <c r="I69" s="336"/>
      <c r="J69" s="336"/>
      <c r="K69" s="336"/>
      <c r="L69" s="336"/>
      <c r="M69" s="336"/>
      <c r="N69" s="337"/>
      <c r="O69" s="337"/>
      <c r="S69" s="338"/>
      <c r="T69" s="338"/>
      <c r="X69" s="339"/>
      <c r="Y69" s="340"/>
      <c r="Z69" s="338"/>
      <c r="AA69" s="338"/>
      <c r="AD69" s="336"/>
      <c r="AE69" s="336"/>
      <c r="AL69" s="374"/>
      <c r="AM69" s="374"/>
    </row>
    <row r="70" spans="3:39" x14ac:dyDescent="0.2">
      <c r="C70" s="336"/>
      <c r="D70" s="336"/>
      <c r="E70" s="336"/>
      <c r="F70" s="336"/>
      <c r="G70" s="336"/>
      <c r="H70" s="336"/>
      <c r="I70" s="336"/>
      <c r="J70" s="336"/>
      <c r="K70" s="336"/>
      <c r="L70" s="336"/>
      <c r="M70" s="336"/>
      <c r="N70" s="337"/>
      <c r="O70" s="337"/>
      <c r="S70" s="338"/>
      <c r="T70" s="338"/>
      <c r="X70" s="339"/>
      <c r="Y70" s="340"/>
      <c r="Z70" s="338"/>
      <c r="AA70" s="338"/>
      <c r="AD70" s="336"/>
      <c r="AE70" s="336"/>
      <c r="AL70" s="374"/>
      <c r="AM70" s="374"/>
    </row>
    <row r="71" spans="3:39" x14ac:dyDescent="0.2">
      <c r="C71" s="336"/>
      <c r="D71" s="336"/>
      <c r="E71" s="336"/>
      <c r="F71" s="336"/>
      <c r="G71" s="336"/>
      <c r="H71" s="336"/>
      <c r="I71" s="336"/>
      <c r="J71" s="336"/>
      <c r="K71" s="336"/>
      <c r="L71" s="336"/>
      <c r="M71" s="336"/>
      <c r="N71" s="337"/>
      <c r="O71" s="337"/>
      <c r="S71" s="338"/>
      <c r="T71" s="338"/>
      <c r="X71" s="339"/>
      <c r="Y71" s="340"/>
      <c r="Z71" s="338"/>
      <c r="AA71" s="338"/>
      <c r="AD71" s="336"/>
      <c r="AE71" s="336"/>
      <c r="AL71" s="374"/>
      <c r="AM71" s="374"/>
    </row>
    <row r="72" spans="3:39" x14ac:dyDescent="0.2">
      <c r="C72" s="336"/>
      <c r="D72" s="336"/>
      <c r="E72" s="336"/>
      <c r="F72" s="336"/>
      <c r="G72" s="336"/>
      <c r="H72" s="336"/>
      <c r="I72" s="336"/>
      <c r="J72" s="336"/>
      <c r="K72" s="336"/>
      <c r="L72" s="336"/>
      <c r="M72" s="336"/>
      <c r="N72" s="336"/>
      <c r="O72" s="336"/>
    </row>
    <row r="73" spans="3:39" x14ac:dyDescent="0.2">
      <c r="C73" s="336"/>
      <c r="D73" s="336"/>
      <c r="E73" s="336"/>
      <c r="F73" s="336"/>
      <c r="G73" s="336"/>
      <c r="H73" s="336"/>
      <c r="I73" s="336"/>
      <c r="J73" s="336"/>
      <c r="K73" s="336"/>
      <c r="L73" s="336"/>
      <c r="M73" s="336"/>
      <c r="N73" s="336"/>
      <c r="O73" s="336"/>
    </row>
    <row r="74" spans="3:39" x14ac:dyDescent="0.2">
      <c r="C74" s="336"/>
      <c r="D74" s="336"/>
      <c r="E74" s="336"/>
      <c r="F74" s="336"/>
      <c r="G74" s="336"/>
      <c r="H74" s="336"/>
      <c r="I74" s="336"/>
      <c r="J74" s="336"/>
      <c r="K74" s="336"/>
      <c r="L74" s="336"/>
      <c r="M74" s="336"/>
      <c r="N74" s="336"/>
      <c r="O74" s="336"/>
    </row>
    <row r="75" spans="3:39" x14ac:dyDescent="0.2">
      <c r="C75" s="336"/>
      <c r="D75" s="336"/>
      <c r="E75" s="336"/>
      <c r="F75" s="336"/>
      <c r="G75" s="336"/>
      <c r="H75" s="336"/>
      <c r="I75" s="336"/>
      <c r="J75" s="336"/>
      <c r="K75" s="336"/>
      <c r="L75" s="336"/>
      <c r="M75" s="336"/>
      <c r="N75" s="336"/>
      <c r="O75" s="336"/>
    </row>
    <row r="76" spans="3:39" x14ac:dyDescent="0.2">
      <c r="C76" s="336"/>
      <c r="D76" s="336"/>
      <c r="E76" s="336"/>
      <c r="F76" s="336"/>
      <c r="G76" s="336"/>
      <c r="H76" s="336"/>
      <c r="I76" s="336"/>
      <c r="J76" s="336"/>
      <c r="K76" s="336"/>
      <c r="L76" s="336"/>
      <c r="M76" s="336"/>
      <c r="N76" s="336"/>
      <c r="O76" s="336"/>
    </row>
    <row r="77" spans="3:39" x14ac:dyDescent="0.2">
      <c r="C77" s="336"/>
      <c r="D77" s="336"/>
      <c r="E77" s="336"/>
      <c r="F77" s="336"/>
      <c r="G77" s="336"/>
      <c r="H77" s="336"/>
      <c r="I77" s="336"/>
      <c r="J77" s="336"/>
      <c r="K77" s="336"/>
      <c r="L77" s="336"/>
      <c r="M77" s="336"/>
      <c r="N77" s="336"/>
      <c r="O77" s="336"/>
    </row>
    <row r="78" spans="3:39" x14ac:dyDescent="0.2">
      <c r="C78" s="336"/>
      <c r="D78" s="336"/>
      <c r="E78" s="336"/>
      <c r="F78" s="336"/>
      <c r="G78" s="336"/>
      <c r="H78" s="336"/>
      <c r="I78" s="336"/>
      <c r="J78" s="336"/>
      <c r="K78" s="336"/>
      <c r="L78" s="336"/>
      <c r="M78" s="336"/>
      <c r="N78" s="336"/>
      <c r="O78" s="336"/>
    </row>
    <row r="79" spans="3:39" x14ac:dyDescent="0.2">
      <c r="C79" s="336"/>
      <c r="D79" s="336"/>
      <c r="E79" s="336"/>
      <c r="F79" s="336"/>
      <c r="G79" s="336"/>
      <c r="H79" s="336"/>
      <c r="I79" s="336"/>
      <c r="J79" s="336"/>
      <c r="K79" s="336"/>
      <c r="L79" s="336"/>
      <c r="M79" s="336"/>
      <c r="N79" s="336"/>
      <c r="O79" s="336"/>
    </row>
    <row r="80" spans="3:39" x14ac:dyDescent="0.2">
      <c r="C80" s="336"/>
      <c r="D80" s="336"/>
      <c r="E80" s="336"/>
      <c r="F80" s="336"/>
      <c r="G80" s="336"/>
      <c r="H80" s="336"/>
      <c r="I80" s="336"/>
      <c r="J80" s="336"/>
      <c r="K80" s="336"/>
      <c r="L80" s="336"/>
      <c r="M80" s="336"/>
      <c r="N80" s="336"/>
      <c r="O80" s="336"/>
    </row>
    <row r="81" spans="3:15" x14ac:dyDescent="0.2">
      <c r="C81" s="336"/>
      <c r="D81" s="336"/>
      <c r="E81" s="336"/>
      <c r="F81" s="336"/>
      <c r="G81" s="336"/>
      <c r="H81" s="336"/>
      <c r="I81" s="336"/>
      <c r="J81" s="336"/>
      <c r="K81" s="336"/>
      <c r="L81" s="336"/>
      <c r="M81" s="336"/>
      <c r="N81" s="336"/>
      <c r="O81" s="336"/>
    </row>
    <row r="82" spans="3:15" x14ac:dyDescent="0.2">
      <c r="C82" s="336"/>
      <c r="D82" s="336"/>
      <c r="E82" s="336"/>
      <c r="F82" s="336"/>
      <c r="G82" s="336"/>
      <c r="H82" s="336"/>
      <c r="I82" s="336"/>
      <c r="J82" s="336"/>
      <c r="K82" s="336"/>
      <c r="L82" s="336"/>
      <c r="M82" s="336"/>
      <c r="N82" s="336"/>
      <c r="O82" s="336"/>
    </row>
    <row r="83" spans="3:15" x14ac:dyDescent="0.2">
      <c r="C83" s="336"/>
      <c r="D83" s="336"/>
      <c r="E83" s="336"/>
      <c r="F83" s="336"/>
      <c r="G83" s="336"/>
      <c r="H83" s="336"/>
      <c r="I83" s="336"/>
      <c r="J83" s="336"/>
      <c r="K83" s="336"/>
      <c r="L83" s="336"/>
      <c r="M83" s="336"/>
      <c r="N83" s="336"/>
      <c r="O83" s="336"/>
    </row>
    <row r="84" spans="3:15" x14ac:dyDescent="0.2">
      <c r="C84" s="336"/>
      <c r="D84" s="336"/>
      <c r="E84" s="336"/>
      <c r="F84" s="336"/>
      <c r="G84" s="336"/>
      <c r="H84" s="336"/>
      <c r="I84" s="336"/>
      <c r="J84" s="336"/>
      <c r="K84" s="336"/>
      <c r="L84" s="336"/>
      <c r="M84" s="336"/>
      <c r="N84" s="336"/>
      <c r="O84" s="336"/>
    </row>
    <row r="85" spans="3:15" x14ac:dyDescent="0.2">
      <c r="C85" s="336"/>
      <c r="D85" s="336"/>
      <c r="E85" s="336"/>
      <c r="F85" s="336"/>
      <c r="G85" s="336"/>
      <c r="H85" s="336"/>
      <c r="I85" s="336"/>
      <c r="J85" s="336"/>
      <c r="K85" s="336"/>
      <c r="L85" s="336"/>
      <c r="M85" s="336"/>
      <c r="N85" s="336"/>
      <c r="O85" s="336"/>
    </row>
    <row r="86" spans="3:15" x14ac:dyDescent="0.2">
      <c r="C86" s="336"/>
      <c r="D86" s="336"/>
      <c r="E86" s="336"/>
      <c r="F86" s="336"/>
      <c r="G86" s="336"/>
      <c r="H86" s="336"/>
      <c r="I86" s="336"/>
      <c r="J86" s="336"/>
      <c r="K86" s="336"/>
      <c r="L86" s="336"/>
      <c r="M86" s="336"/>
      <c r="N86" s="336"/>
      <c r="O86" s="336"/>
    </row>
    <row r="87" spans="3:15" x14ac:dyDescent="0.2">
      <c r="C87" s="336"/>
      <c r="D87" s="336"/>
      <c r="E87" s="336"/>
      <c r="F87" s="336"/>
      <c r="G87" s="336"/>
      <c r="H87" s="336"/>
      <c r="I87" s="336"/>
      <c r="J87" s="336"/>
      <c r="K87" s="336"/>
      <c r="L87" s="336"/>
      <c r="M87" s="336"/>
      <c r="N87" s="336"/>
      <c r="O87" s="336"/>
    </row>
    <row r="88" spans="3:15" x14ac:dyDescent="0.2">
      <c r="C88" s="336"/>
      <c r="D88" s="336"/>
      <c r="E88" s="336"/>
      <c r="F88" s="336"/>
      <c r="G88" s="336"/>
      <c r="H88" s="336"/>
      <c r="I88" s="336"/>
      <c r="J88" s="336"/>
      <c r="K88" s="336"/>
      <c r="L88" s="336"/>
      <c r="M88" s="336"/>
      <c r="N88" s="336"/>
      <c r="O88" s="336"/>
    </row>
    <row r="89" spans="3:15" x14ac:dyDescent="0.2">
      <c r="C89" s="336"/>
      <c r="D89" s="336"/>
      <c r="E89" s="336"/>
      <c r="F89" s="336"/>
      <c r="G89" s="336"/>
      <c r="H89" s="336"/>
      <c r="I89" s="336"/>
      <c r="J89" s="336"/>
      <c r="K89" s="336"/>
      <c r="L89" s="336"/>
      <c r="M89" s="336"/>
      <c r="N89" s="336"/>
      <c r="O89" s="336"/>
    </row>
    <row r="90" spans="3:15" x14ac:dyDescent="0.2">
      <c r="C90" s="336"/>
      <c r="D90" s="336"/>
      <c r="E90" s="336"/>
      <c r="F90" s="336"/>
      <c r="G90" s="336"/>
      <c r="H90" s="336"/>
      <c r="I90" s="336"/>
      <c r="J90" s="336"/>
      <c r="K90" s="336"/>
      <c r="L90" s="336"/>
      <c r="M90" s="336"/>
      <c r="N90" s="336"/>
      <c r="O90" s="336"/>
    </row>
    <row r="91" spans="3:15" x14ac:dyDescent="0.2">
      <c r="C91" s="336"/>
      <c r="D91" s="336"/>
      <c r="E91" s="336"/>
      <c r="F91" s="336"/>
      <c r="G91" s="336"/>
      <c r="H91" s="336"/>
      <c r="I91" s="336"/>
      <c r="J91" s="336"/>
      <c r="K91" s="336"/>
      <c r="L91" s="336"/>
      <c r="M91" s="336"/>
      <c r="N91" s="336"/>
      <c r="O91" s="336"/>
    </row>
    <row r="92" spans="3:15" x14ac:dyDescent="0.2">
      <c r="C92" s="336"/>
      <c r="D92" s="336"/>
      <c r="E92" s="336"/>
      <c r="F92" s="336"/>
      <c r="G92" s="336"/>
      <c r="H92" s="336"/>
      <c r="I92" s="336"/>
      <c r="J92" s="336"/>
      <c r="K92" s="336"/>
      <c r="L92" s="336"/>
      <c r="M92" s="336"/>
      <c r="N92" s="336"/>
      <c r="O92" s="336"/>
    </row>
    <row r="93" spans="3:15" x14ac:dyDescent="0.2">
      <c r="C93" s="336"/>
      <c r="D93" s="336"/>
      <c r="E93" s="336"/>
      <c r="F93" s="336"/>
      <c r="G93" s="336"/>
      <c r="H93" s="336"/>
      <c r="I93" s="336"/>
      <c r="J93" s="336"/>
      <c r="K93" s="336"/>
      <c r="L93" s="336"/>
      <c r="M93" s="336"/>
      <c r="N93" s="336"/>
      <c r="O93" s="336"/>
    </row>
    <row r="94" spans="3:15" x14ac:dyDescent="0.2">
      <c r="C94" s="336"/>
      <c r="D94" s="336"/>
      <c r="E94" s="336"/>
      <c r="F94" s="336"/>
      <c r="G94" s="336"/>
      <c r="H94" s="336"/>
      <c r="I94" s="336"/>
      <c r="J94" s="336"/>
      <c r="K94" s="336"/>
      <c r="L94" s="336"/>
      <c r="M94" s="336"/>
      <c r="N94" s="336"/>
      <c r="O94" s="336"/>
    </row>
    <row r="95" spans="3:15" x14ac:dyDescent="0.2">
      <c r="C95" s="336"/>
      <c r="D95" s="336"/>
      <c r="E95" s="336"/>
      <c r="F95" s="336"/>
      <c r="G95" s="336"/>
      <c r="H95" s="336"/>
      <c r="I95" s="336"/>
      <c r="J95" s="336"/>
      <c r="K95" s="336"/>
      <c r="L95" s="336"/>
      <c r="M95" s="336"/>
      <c r="N95" s="336"/>
      <c r="O95" s="336"/>
    </row>
    <row r="96" spans="3:15" x14ac:dyDescent="0.2">
      <c r="C96" s="336"/>
      <c r="D96" s="336"/>
      <c r="E96" s="336"/>
      <c r="F96" s="336"/>
      <c r="G96" s="336"/>
      <c r="H96" s="336"/>
      <c r="I96" s="336"/>
      <c r="J96" s="336"/>
      <c r="K96" s="336"/>
      <c r="L96" s="336"/>
      <c r="M96" s="336"/>
      <c r="N96" s="336"/>
      <c r="O96" s="336"/>
    </row>
    <row r="97" spans="3:15" x14ac:dyDescent="0.2">
      <c r="C97" s="336"/>
      <c r="D97" s="336"/>
      <c r="E97" s="336"/>
      <c r="F97" s="336"/>
      <c r="G97" s="336"/>
      <c r="H97" s="336"/>
      <c r="I97" s="336"/>
      <c r="J97" s="336"/>
      <c r="K97" s="336"/>
      <c r="L97" s="336"/>
      <c r="M97" s="336"/>
      <c r="N97" s="336"/>
      <c r="O97" s="336"/>
    </row>
    <row r="98" spans="3:15" x14ac:dyDescent="0.2">
      <c r="C98" s="336"/>
      <c r="D98" s="336"/>
      <c r="E98" s="336"/>
      <c r="F98" s="336"/>
      <c r="G98" s="336"/>
      <c r="H98" s="336"/>
      <c r="I98" s="336"/>
      <c r="J98" s="336"/>
      <c r="K98" s="336"/>
      <c r="L98" s="336"/>
      <c r="M98" s="336"/>
      <c r="N98" s="336"/>
      <c r="O98" s="336"/>
    </row>
    <row r="99" spans="3:15" x14ac:dyDescent="0.2">
      <c r="C99" s="336"/>
      <c r="D99" s="336"/>
      <c r="E99" s="336"/>
      <c r="F99" s="336"/>
      <c r="G99" s="336"/>
      <c r="H99" s="336"/>
      <c r="I99" s="336"/>
      <c r="J99" s="336"/>
      <c r="K99" s="336"/>
      <c r="L99" s="336"/>
      <c r="M99" s="336"/>
      <c r="N99" s="336"/>
      <c r="O99" s="336"/>
    </row>
    <row r="100" spans="3:15" x14ac:dyDescent="0.2">
      <c r="C100" s="336"/>
      <c r="D100" s="336"/>
      <c r="E100" s="336"/>
      <c r="F100" s="336"/>
      <c r="G100" s="336"/>
      <c r="H100" s="336"/>
      <c r="I100" s="336"/>
      <c r="J100" s="336"/>
      <c r="K100" s="336"/>
      <c r="L100" s="336"/>
      <c r="M100" s="336"/>
      <c r="N100" s="336"/>
      <c r="O100" s="336"/>
    </row>
    <row r="101" spans="3:15" x14ac:dyDescent="0.2">
      <c r="C101" s="336"/>
      <c r="D101" s="336"/>
      <c r="E101" s="336"/>
      <c r="F101" s="336"/>
      <c r="G101" s="336"/>
      <c r="H101" s="336"/>
      <c r="I101" s="336"/>
      <c r="J101" s="336"/>
      <c r="K101" s="336"/>
      <c r="L101" s="336"/>
      <c r="M101" s="336"/>
      <c r="N101" s="336"/>
      <c r="O101" s="336"/>
    </row>
    <row r="102" spans="3:15" x14ac:dyDescent="0.2">
      <c r="C102" s="336"/>
      <c r="D102" s="336"/>
      <c r="E102" s="336"/>
      <c r="F102" s="336"/>
      <c r="G102" s="336"/>
      <c r="H102" s="336"/>
      <c r="I102" s="336"/>
      <c r="J102" s="336"/>
      <c r="K102" s="336"/>
      <c r="L102" s="336"/>
      <c r="M102" s="336"/>
      <c r="N102" s="336"/>
      <c r="O102" s="336"/>
    </row>
    <row r="103" spans="3:15" x14ac:dyDescent="0.2">
      <c r="C103" s="336"/>
      <c r="D103" s="336"/>
      <c r="E103" s="336"/>
      <c r="F103" s="336"/>
      <c r="G103" s="336"/>
      <c r="H103" s="336"/>
      <c r="I103" s="336"/>
      <c r="J103" s="336"/>
      <c r="K103" s="336"/>
      <c r="L103" s="336"/>
      <c r="M103" s="336"/>
      <c r="N103" s="336"/>
      <c r="O103" s="336"/>
    </row>
    <row r="104" spans="3:15" x14ac:dyDescent="0.2">
      <c r="C104" s="336"/>
      <c r="D104" s="336"/>
      <c r="E104" s="336"/>
      <c r="F104" s="336"/>
      <c r="G104" s="336"/>
      <c r="H104" s="336"/>
      <c r="I104" s="336"/>
      <c r="J104" s="336"/>
      <c r="K104" s="336"/>
      <c r="L104" s="336"/>
      <c r="M104" s="336"/>
      <c r="N104" s="336"/>
      <c r="O104" s="336"/>
    </row>
    <row r="105" spans="3:15" x14ac:dyDescent="0.2">
      <c r="C105" s="336"/>
      <c r="D105" s="336"/>
      <c r="E105" s="336"/>
      <c r="F105" s="336"/>
      <c r="G105" s="336"/>
      <c r="H105" s="336"/>
      <c r="I105" s="336"/>
      <c r="J105" s="336"/>
      <c r="K105" s="336"/>
      <c r="L105" s="336"/>
      <c r="M105" s="336"/>
      <c r="N105" s="336"/>
      <c r="O105" s="336"/>
    </row>
    <row r="106" spans="3:15" x14ac:dyDescent="0.2">
      <c r="C106" s="336"/>
      <c r="D106" s="336"/>
      <c r="E106" s="336"/>
      <c r="F106" s="336"/>
      <c r="G106" s="336"/>
      <c r="H106" s="336"/>
      <c r="I106" s="336"/>
      <c r="J106" s="336"/>
      <c r="K106" s="336"/>
      <c r="L106" s="336"/>
      <c r="M106" s="336"/>
      <c r="N106" s="336"/>
      <c r="O106" s="336"/>
    </row>
    <row r="107" spans="3:15" x14ac:dyDescent="0.2">
      <c r="C107" s="336"/>
      <c r="D107" s="336"/>
      <c r="E107" s="336"/>
      <c r="F107" s="336"/>
      <c r="G107" s="336"/>
      <c r="H107" s="336"/>
      <c r="I107" s="336"/>
      <c r="J107" s="336"/>
      <c r="K107" s="336"/>
      <c r="L107" s="336"/>
      <c r="M107" s="336"/>
      <c r="N107" s="336"/>
      <c r="O107" s="336"/>
    </row>
    <row r="108" spans="3:15" x14ac:dyDescent="0.2">
      <c r="C108" s="336"/>
      <c r="D108" s="336"/>
      <c r="E108" s="336"/>
      <c r="F108" s="336"/>
      <c r="G108" s="336"/>
      <c r="H108" s="336"/>
      <c r="I108" s="336"/>
      <c r="J108" s="336"/>
      <c r="K108" s="336"/>
      <c r="L108" s="336"/>
      <c r="M108" s="336"/>
      <c r="N108" s="336"/>
      <c r="O108" s="336"/>
    </row>
    <row r="109" spans="3:15" x14ac:dyDescent="0.2">
      <c r="C109" s="336"/>
      <c r="D109" s="336"/>
      <c r="E109" s="336"/>
      <c r="F109" s="336"/>
      <c r="G109" s="336"/>
      <c r="H109" s="336"/>
      <c r="I109" s="336"/>
      <c r="J109" s="336"/>
      <c r="K109" s="336"/>
      <c r="L109" s="336"/>
      <c r="M109" s="336"/>
      <c r="N109" s="336"/>
      <c r="O109" s="336"/>
    </row>
    <row r="110" spans="3:15" x14ac:dyDescent="0.2">
      <c r="C110" s="336"/>
      <c r="D110" s="336"/>
      <c r="E110" s="336"/>
      <c r="F110" s="336"/>
      <c r="G110" s="336"/>
      <c r="H110" s="336"/>
      <c r="I110" s="336"/>
      <c r="J110" s="336"/>
      <c r="K110" s="336"/>
      <c r="L110" s="336"/>
      <c r="M110" s="336"/>
      <c r="N110" s="336"/>
      <c r="O110" s="336"/>
    </row>
    <row r="111" spans="3:15" x14ac:dyDescent="0.2">
      <c r="C111" s="336"/>
      <c r="D111" s="336"/>
      <c r="E111" s="336"/>
      <c r="F111" s="336"/>
      <c r="G111" s="336"/>
      <c r="H111" s="336"/>
      <c r="I111" s="336"/>
      <c r="J111" s="336"/>
      <c r="K111" s="336"/>
      <c r="L111" s="336"/>
      <c r="M111" s="336"/>
      <c r="N111" s="336"/>
      <c r="O111" s="336"/>
    </row>
    <row r="112" spans="3:15" x14ac:dyDescent="0.2">
      <c r="C112" s="336"/>
      <c r="D112" s="336"/>
      <c r="E112" s="336"/>
      <c r="F112" s="336"/>
      <c r="G112" s="336"/>
      <c r="H112" s="336"/>
      <c r="I112" s="336"/>
      <c r="J112" s="336"/>
      <c r="K112" s="336"/>
      <c r="L112" s="336"/>
      <c r="M112" s="336"/>
      <c r="N112" s="336"/>
      <c r="O112" s="336"/>
    </row>
    <row r="113" spans="3:15" x14ac:dyDescent="0.2">
      <c r="C113" s="336"/>
      <c r="D113" s="336"/>
      <c r="E113" s="336"/>
      <c r="F113" s="336"/>
      <c r="G113" s="336"/>
      <c r="H113" s="336"/>
      <c r="I113" s="336"/>
      <c r="J113" s="336"/>
      <c r="K113" s="336"/>
      <c r="L113" s="336"/>
      <c r="M113" s="336"/>
      <c r="N113" s="336"/>
      <c r="O113" s="336"/>
    </row>
    <row r="114" spans="3:15" x14ac:dyDescent="0.2">
      <c r="C114" s="336"/>
      <c r="D114" s="336"/>
      <c r="E114" s="336"/>
      <c r="F114" s="336"/>
      <c r="G114" s="336"/>
      <c r="H114" s="336"/>
      <c r="I114" s="336"/>
      <c r="J114" s="336"/>
      <c r="K114" s="336"/>
      <c r="L114" s="336"/>
      <c r="M114" s="336"/>
      <c r="N114" s="336"/>
      <c r="O114" s="336"/>
    </row>
    <row r="115" spans="3:15" x14ac:dyDescent="0.2">
      <c r="C115" s="336"/>
      <c r="D115" s="336"/>
      <c r="E115" s="336"/>
      <c r="F115" s="336"/>
      <c r="G115" s="336"/>
      <c r="H115" s="336"/>
      <c r="I115" s="336"/>
      <c r="J115" s="336"/>
      <c r="K115" s="336"/>
      <c r="L115" s="336"/>
      <c r="M115" s="336"/>
      <c r="N115" s="336"/>
      <c r="O115" s="336"/>
    </row>
    <row r="116" spans="3:15" x14ac:dyDescent="0.2">
      <c r="C116" s="336"/>
      <c r="D116" s="336"/>
      <c r="E116" s="336"/>
      <c r="F116" s="336"/>
      <c r="G116" s="336"/>
      <c r="H116" s="336"/>
      <c r="I116" s="336"/>
      <c r="J116" s="336"/>
      <c r="K116" s="336"/>
      <c r="L116" s="336"/>
      <c r="M116" s="336"/>
      <c r="N116" s="336"/>
      <c r="O116" s="336"/>
    </row>
    <row r="117" spans="3:15" x14ac:dyDescent="0.2">
      <c r="C117" s="336"/>
      <c r="D117" s="336"/>
      <c r="E117" s="336"/>
      <c r="F117" s="336"/>
      <c r="G117" s="336"/>
      <c r="H117" s="336"/>
      <c r="I117" s="336"/>
      <c r="J117" s="336"/>
      <c r="K117" s="336"/>
      <c r="L117" s="336"/>
      <c r="M117" s="336"/>
      <c r="N117" s="336"/>
      <c r="O117" s="336"/>
    </row>
    <row r="118" spans="3:15" x14ac:dyDescent="0.2">
      <c r="C118" s="336"/>
      <c r="D118" s="336"/>
      <c r="E118" s="336"/>
      <c r="F118" s="336"/>
      <c r="G118" s="336"/>
      <c r="H118" s="336"/>
      <c r="I118" s="336"/>
      <c r="J118" s="336"/>
      <c r="K118" s="336"/>
      <c r="L118" s="336"/>
      <c r="M118" s="336"/>
      <c r="N118" s="336"/>
      <c r="O118" s="336"/>
    </row>
    <row r="119" spans="3:15" x14ac:dyDescent="0.2">
      <c r="C119" s="336"/>
      <c r="D119" s="336"/>
      <c r="E119" s="336"/>
      <c r="F119" s="336"/>
      <c r="G119" s="336"/>
      <c r="H119" s="336"/>
      <c r="I119" s="336"/>
      <c r="J119" s="336"/>
      <c r="K119" s="336"/>
      <c r="L119" s="336"/>
      <c r="M119" s="336"/>
      <c r="N119" s="336"/>
      <c r="O119" s="336"/>
    </row>
    <row r="120" spans="3:15" x14ac:dyDescent="0.2">
      <c r="C120" s="336"/>
      <c r="D120" s="336"/>
      <c r="E120" s="336"/>
      <c r="F120" s="336"/>
      <c r="G120" s="336"/>
      <c r="H120" s="336"/>
      <c r="I120" s="336"/>
      <c r="J120" s="336"/>
      <c r="K120" s="336"/>
      <c r="L120" s="336"/>
      <c r="M120" s="336"/>
      <c r="N120" s="336"/>
      <c r="O120" s="336"/>
    </row>
    <row r="121" spans="3:15" x14ac:dyDescent="0.2">
      <c r="C121" s="336"/>
      <c r="D121" s="336"/>
      <c r="E121" s="336"/>
      <c r="F121" s="336"/>
      <c r="G121" s="336"/>
      <c r="H121" s="336"/>
      <c r="I121" s="336"/>
      <c r="J121" s="336"/>
      <c r="K121" s="336"/>
      <c r="L121" s="336"/>
      <c r="M121" s="336"/>
      <c r="N121" s="336"/>
      <c r="O121" s="336"/>
    </row>
    <row r="122" spans="3:15" x14ac:dyDescent="0.2">
      <c r="C122" s="336"/>
      <c r="D122" s="336"/>
      <c r="E122" s="336"/>
      <c r="F122" s="336"/>
      <c r="G122" s="336"/>
      <c r="H122" s="336"/>
      <c r="I122" s="336"/>
      <c r="J122" s="336"/>
      <c r="K122" s="336"/>
      <c r="L122" s="336"/>
      <c r="M122" s="336"/>
      <c r="N122" s="336"/>
      <c r="O122" s="336"/>
    </row>
    <row r="123" spans="3:15" x14ac:dyDescent="0.2">
      <c r="C123" s="336"/>
      <c r="D123" s="336"/>
      <c r="E123" s="336"/>
      <c r="F123" s="336"/>
      <c r="G123" s="336"/>
      <c r="H123" s="336"/>
      <c r="I123" s="336"/>
      <c r="J123" s="336"/>
      <c r="K123" s="336"/>
      <c r="L123" s="336"/>
      <c r="M123" s="336"/>
      <c r="N123" s="336"/>
      <c r="O123" s="336"/>
    </row>
    <row r="124" spans="3:15" x14ac:dyDescent="0.2">
      <c r="C124" s="336"/>
      <c r="D124" s="336"/>
      <c r="E124" s="336"/>
      <c r="F124" s="336"/>
      <c r="G124" s="336"/>
      <c r="H124" s="336"/>
      <c r="I124" s="336"/>
      <c r="J124" s="336"/>
      <c r="K124" s="336"/>
      <c r="L124" s="336"/>
      <c r="M124" s="336"/>
      <c r="N124" s="336"/>
      <c r="O124" s="336"/>
    </row>
    <row r="125" spans="3:15" x14ac:dyDescent="0.2">
      <c r="C125" s="336"/>
      <c r="D125" s="336"/>
      <c r="E125" s="336"/>
      <c r="F125" s="336"/>
      <c r="G125" s="336"/>
      <c r="H125" s="336"/>
      <c r="I125" s="336"/>
      <c r="J125" s="336"/>
      <c r="K125" s="336"/>
      <c r="L125" s="336"/>
      <c r="M125" s="336"/>
      <c r="N125" s="336"/>
      <c r="O125" s="336"/>
    </row>
    <row r="126" spans="3:15" x14ac:dyDescent="0.2">
      <c r="C126" s="336"/>
      <c r="D126" s="336"/>
      <c r="E126" s="336"/>
      <c r="F126" s="336"/>
      <c r="G126" s="336"/>
      <c r="H126" s="336"/>
      <c r="I126" s="336"/>
      <c r="J126" s="336"/>
      <c r="K126" s="336"/>
      <c r="L126" s="336"/>
      <c r="M126" s="336"/>
      <c r="N126" s="336"/>
      <c r="O126" s="336"/>
    </row>
    <row r="127" spans="3:15" x14ac:dyDescent="0.2">
      <c r="C127" s="336"/>
      <c r="D127" s="336"/>
      <c r="E127" s="336"/>
      <c r="F127" s="336"/>
      <c r="G127" s="336"/>
      <c r="H127" s="336"/>
      <c r="I127" s="336"/>
      <c r="J127" s="336"/>
      <c r="K127" s="336"/>
      <c r="L127" s="336"/>
      <c r="M127" s="336"/>
      <c r="N127" s="336"/>
      <c r="O127" s="336"/>
    </row>
    <row r="128" spans="3:15" x14ac:dyDescent="0.2">
      <c r="C128" s="336"/>
      <c r="D128" s="336"/>
      <c r="E128" s="336"/>
      <c r="F128" s="336"/>
      <c r="G128" s="336"/>
      <c r="H128" s="336"/>
      <c r="I128" s="336"/>
      <c r="J128" s="336"/>
      <c r="K128" s="336"/>
      <c r="L128" s="336"/>
      <c r="M128" s="336"/>
      <c r="N128" s="336"/>
      <c r="O128" s="336"/>
    </row>
    <row r="129" spans="3:15" x14ac:dyDescent="0.2">
      <c r="C129" s="336"/>
      <c r="D129" s="336"/>
      <c r="E129" s="336"/>
      <c r="F129" s="336"/>
      <c r="G129" s="336"/>
      <c r="H129" s="336"/>
      <c r="I129" s="336"/>
      <c r="J129" s="336"/>
      <c r="K129" s="336"/>
      <c r="L129" s="336"/>
      <c r="M129" s="336"/>
      <c r="N129" s="336"/>
      <c r="O129" s="336"/>
    </row>
    <row r="130" spans="3:15" x14ac:dyDescent="0.2">
      <c r="C130" s="336"/>
      <c r="D130" s="336"/>
      <c r="E130" s="336"/>
      <c r="F130" s="336"/>
      <c r="G130" s="336"/>
      <c r="H130" s="336"/>
      <c r="I130" s="336"/>
      <c r="J130" s="336"/>
      <c r="K130" s="336"/>
      <c r="L130" s="336"/>
      <c r="M130" s="336"/>
      <c r="N130" s="336"/>
      <c r="O130" s="336"/>
    </row>
    <row r="131" spans="3:15" x14ac:dyDescent="0.2">
      <c r="C131" s="336"/>
      <c r="D131" s="336"/>
      <c r="E131" s="336"/>
      <c r="F131" s="336"/>
      <c r="G131" s="336"/>
      <c r="H131" s="336"/>
      <c r="I131" s="336"/>
      <c r="J131" s="336"/>
      <c r="K131" s="336"/>
      <c r="L131" s="336"/>
      <c r="M131" s="336"/>
      <c r="N131" s="336"/>
      <c r="O131" s="336"/>
    </row>
    <row r="132" spans="3:15" x14ac:dyDescent="0.2">
      <c r="C132" s="336"/>
      <c r="D132" s="336"/>
      <c r="E132" s="336"/>
      <c r="F132" s="336"/>
      <c r="G132" s="336"/>
      <c r="H132" s="336"/>
      <c r="I132" s="336"/>
      <c r="J132" s="336"/>
      <c r="K132" s="336"/>
      <c r="L132" s="336"/>
      <c r="M132" s="336"/>
      <c r="N132" s="336"/>
      <c r="O132" s="336"/>
    </row>
    <row r="133" spans="3:15" x14ac:dyDescent="0.2">
      <c r="C133" s="336"/>
      <c r="D133" s="336"/>
      <c r="E133" s="336"/>
      <c r="F133" s="336"/>
      <c r="G133" s="336"/>
      <c r="H133" s="336"/>
      <c r="I133" s="336"/>
      <c r="J133" s="336"/>
      <c r="K133" s="336"/>
      <c r="L133" s="336"/>
      <c r="M133" s="336"/>
      <c r="N133" s="336"/>
      <c r="O133" s="336"/>
    </row>
    <row r="134" spans="3:15" x14ac:dyDescent="0.2">
      <c r="C134" s="336"/>
      <c r="D134" s="336"/>
      <c r="E134" s="336"/>
      <c r="F134" s="336"/>
      <c r="G134" s="336"/>
      <c r="H134" s="336"/>
      <c r="I134" s="336"/>
      <c r="J134" s="336"/>
      <c r="K134" s="336"/>
      <c r="L134" s="336"/>
      <c r="M134" s="336"/>
      <c r="N134" s="336"/>
      <c r="O134" s="336"/>
    </row>
    <row r="135" spans="3:15" x14ac:dyDescent="0.2">
      <c r="C135" s="336"/>
      <c r="D135" s="336"/>
      <c r="E135" s="336"/>
      <c r="F135" s="336"/>
      <c r="G135" s="336"/>
      <c r="H135" s="336"/>
      <c r="I135" s="336"/>
      <c r="J135" s="336"/>
      <c r="K135" s="336"/>
      <c r="L135" s="336"/>
      <c r="M135" s="336"/>
      <c r="N135" s="336"/>
      <c r="O135" s="336"/>
    </row>
    <row r="136" spans="3:15" x14ac:dyDescent="0.2">
      <c r="C136" s="336"/>
      <c r="D136" s="336"/>
      <c r="E136" s="336"/>
      <c r="F136" s="336"/>
      <c r="G136" s="336"/>
      <c r="H136" s="336"/>
      <c r="I136" s="336"/>
      <c r="J136" s="336"/>
      <c r="K136" s="336"/>
      <c r="L136" s="336"/>
      <c r="M136" s="336"/>
      <c r="N136" s="336"/>
      <c r="O136" s="336"/>
    </row>
    <row r="137" spans="3:15" x14ac:dyDescent="0.2">
      <c r="C137" s="336"/>
      <c r="D137" s="336"/>
      <c r="E137" s="336"/>
      <c r="F137" s="336"/>
      <c r="G137" s="336"/>
      <c r="H137" s="336"/>
      <c r="I137" s="336"/>
      <c r="J137" s="336"/>
      <c r="K137" s="336"/>
      <c r="L137" s="336"/>
      <c r="M137" s="336"/>
      <c r="N137" s="336"/>
      <c r="O137" s="336"/>
    </row>
    <row r="138" spans="3:15" x14ac:dyDescent="0.2">
      <c r="C138" s="336"/>
      <c r="D138" s="336"/>
      <c r="E138" s="336"/>
      <c r="F138" s="336"/>
      <c r="G138" s="336"/>
      <c r="H138" s="336"/>
      <c r="I138" s="336"/>
      <c r="J138" s="336"/>
      <c r="K138" s="336"/>
      <c r="L138" s="336"/>
      <c r="M138" s="336"/>
      <c r="N138" s="336"/>
      <c r="O138" s="336"/>
    </row>
    <row r="139" spans="3:15" x14ac:dyDescent="0.2">
      <c r="C139" s="336"/>
      <c r="D139" s="336"/>
      <c r="E139" s="336"/>
      <c r="F139" s="336"/>
      <c r="G139" s="336"/>
      <c r="H139" s="336"/>
      <c r="I139" s="336"/>
      <c r="J139" s="336"/>
      <c r="K139" s="336"/>
      <c r="L139" s="336"/>
      <c r="M139" s="336"/>
      <c r="N139" s="336"/>
      <c r="O139" s="336"/>
    </row>
    <row r="140" spans="3:15" x14ac:dyDescent="0.2">
      <c r="C140" s="336"/>
      <c r="D140" s="336"/>
      <c r="E140" s="336"/>
      <c r="F140" s="336"/>
      <c r="G140" s="336"/>
      <c r="H140" s="336"/>
      <c r="I140" s="336"/>
      <c r="J140" s="336"/>
      <c r="K140" s="336"/>
      <c r="L140" s="336"/>
      <c r="M140" s="336"/>
      <c r="N140" s="336"/>
      <c r="O140" s="336"/>
    </row>
    <row r="141" spans="3:15" x14ac:dyDescent="0.2">
      <c r="C141" s="336"/>
      <c r="D141" s="336"/>
      <c r="E141" s="336"/>
      <c r="F141" s="336"/>
      <c r="G141" s="336"/>
      <c r="H141" s="336"/>
      <c r="I141" s="336"/>
      <c r="J141" s="336"/>
      <c r="K141" s="336"/>
      <c r="L141" s="336"/>
      <c r="M141" s="336"/>
      <c r="N141" s="336"/>
      <c r="O141" s="336"/>
    </row>
    <row r="142" spans="3:15" x14ac:dyDescent="0.2">
      <c r="C142" s="336"/>
      <c r="D142" s="336"/>
      <c r="E142" s="336"/>
      <c r="F142" s="336"/>
      <c r="G142" s="336"/>
      <c r="H142" s="336"/>
      <c r="I142" s="336"/>
      <c r="J142" s="336"/>
      <c r="K142" s="336"/>
      <c r="L142" s="336"/>
      <c r="M142" s="336"/>
      <c r="N142" s="336"/>
      <c r="O142" s="336"/>
    </row>
    <row r="143" spans="3:15" x14ac:dyDescent="0.2">
      <c r="C143" s="336"/>
      <c r="D143" s="336"/>
      <c r="E143" s="336"/>
      <c r="F143" s="336"/>
      <c r="G143" s="336"/>
      <c r="H143" s="336"/>
      <c r="I143" s="336"/>
      <c r="J143" s="336"/>
      <c r="K143" s="336"/>
      <c r="L143" s="336"/>
      <c r="M143" s="336"/>
      <c r="N143" s="336"/>
      <c r="O143" s="336"/>
    </row>
    <row r="144" spans="3:15" x14ac:dyDescent="0.2">
      <c r="C144" s="336"/>
      <c r="D144" s="336"/>
      <c r="E144" s="336"/>
      <c r="F144" s="336"/>
      <c r="G144" s="336"/>
      <c r="H144" s="336"/>
      <c r="I144" s="336"/>
      <c r="J144" s="336"/>
      <c r="K144" s="336"/>
      <c r="L144" s="336"/>
      <c r="M144" s="336"/>
      <c r="N144" s="336"/>
      <c r="O144" s="336"/>
    </row>
    <row r="145" spans="3:15" x14ac:dyDescent="0.2">
      <c r="C145" s="336"/>
      <c r="D145" s="336"/>
      <c r="E145" s="336"/>
      <c r="F145" s="336"/>
      <c r="G145" s="336"/>
      <c r="H145" s="336"/>
      <c r="I145" s="336"/>
      <c r="J145" s="336"/>
      <c r="K145" s="336"/>
      <c r="L145" s="336"/>
      <c r="M145" s="336"/>
      <c r="N145" s="336"/>
      <c r="O145" s="336"/>
    </row>
    <row r="146" spans="3:15" x14ac:dyDescent="0.2">
      <c r="C146" s="336"/>
      <c r="D146" s="336"/>
      <c r="E146" s="336"/>
      <c r="F146" s="336"/>
      <c r="G146" s="336"/>
      <c r="H146" s="336"/>
      <c r="I146" s="336"/>
      <c r="J146" s="336"/>
      <c r="K146" s="336"/>
      <c r="L146" s="336"/>
      <c r="M146" s="336"/>
      <c r="N146" s="336"/>
      <c r="O146" s="336"/>
    </row>
    <row r="147" spans="3:15" x14ac:dyDescent="0.2">
      <c r="C147" s="336"/>
      <c r="D147" s="336"/>
      <c r="E147" s="336"/>
      <c r="F147" s="336"/>
      <c r="G147" s="336"/>
      <c r="H147" s="336"/>
      <c r="I147" s="336"/>
      <c r="J147" s="336"/>
      <c r="K147" s="336"/>
      <c r="L147" s="336"/>
      <c r="M147" s="336"/>
      <c r="N147" s="336"/>
      <c r="O147" s="336"/>
    </row>
    <row r="148" spans="3:15" x14ac:dyDescent="0.2">
      <c r="C148" s="336"/>
      <c r="D148" s="336"/>
      <c r="E148" s="336"/>
      <c r="F148" s="336"/>
      <c r="G148" s="336"/>
      <c r="H148" s="336"/>
      <c r="I148" s="336"/>
      <c r="J148" s="336"/>
      <c r="K148" s="336"/>
      <c r="L148" s="336"/>
      <c r="M148" s="336"/>
      <c r="N148" s="336"/>
      <c r="O148" s="336"/>
    </row>
    <row r="149" spans="3:15" x14ac:dyDescent="0.2">
      <c r="C149" s="336"/>
      <c r="D149" s="336"/>
      <c r="E149" s="336"/>
      <c r="F149" s="336"/>
      <c r="G149" s="336"/>
      <c r="H149" s="336"/>
      <c r="I149" s="336"/>
      <c r="J149" s="336"/>
      <c r="K149" s="336"/>
      <c r="L149" s="336"/>
      <c r="M149" s="336"/>
      <c r="N149" s="336"/>
      <c r="O149" s="336"/>
    </row>
    <row r="150" spans="3:15" x14ac:dyDescent="0.2">
      <c r="C150" s="336"/>
      <c r="D150" s="336"/>
      <c r="E150" s="336"/>
      <c r="F150" s="336"/>
      <c r="G150" s="336"/>
      <c r="H150" s="336"/>
      <c r="I150" s="336"/>
      <c r="J150" s="336"/>
      <c r="K150" s="336"/>
      <c r="L150" s="336"/>
      <c r="M150" s="336"/>
      <c r="N150" s="336"/>
      <c r="O150" s="336"/>
    </row>
    <row r="151" spans="3:15" x14ac:dyDescent="0.2">
      <c r="C151" s="336"/>
      <c r="D151" s="336"/>
      <c r="E151" s="336"/>
      <c r="F151" s="336"/>
      <c r="G151" s="336"/>
      <c r="H151" s="336"/>
      <c r="I151" s="336"/>
      <c r="J151" s="336"/>
      <c r="K151" s="336"/>
      <c r="L151" s="336"/>
      <c r="M151" s="336"/>
      <c r="N151" s="336"/>
      <c r="O151" s="336"/>
    </row>
    <row r="152" spans="3:15" x14ac:dyDescent="0.2">
      <c r="C152" s="336"/>
      <c r="D152" s="336"/>
      <c r="E152" s="336"/>
      <c r="F152" s="336"/>
      <c r="G152" s="336"/>
      <c r="H152" s="336"/>
      <c r="I152" s="336"/>
      <c r="J152" s="336"/>
      <c r="K152" s="336"/>
      <c r="L152" s="336"/>
      <c r="M152" s="336"/>
      <c r="N152" s="336"/>
      <c r="O152" s="336"/>
    </row>
    <row r="153" spans="3:15" x14ac:dyDescent="0.2">
      <c r="C153" s="336"/>
      <c r="D153" s="336"/>
      <c r="E153" s="336"/>
      <c r="F153" s="336"/>
      <c r="G153" s="336"/>
      <c r="H153" s="336"/>
      <c r="I153" s="336"/>
      <c r="J153" s="336"/>
      <c r="K153" s="336"/>
      <c r="L153" s="336"/>
      <c r="M153" s="336"/>
      <c r="N153" s="336"/>
      <c r="O153" s="336"/>
    </row>
    <row r="154" spans="3:15" x14ac:dyDescent="0.2">
      <c r="C154" s="336"/>
      <c r="D154" s="336"/>
      <c r="E154" s="336"/>
      <c r="F154" s="336"/>
      <c r="G154" s="336"/>
      <c r="H154" s="336"/>
      <c r="I154" s="336"/>
      <c r="J154" s="336"/>
      <c r="K154" s="336"/>
      <c r="L154" s="336"/>
      <c r="M154" s="336"/>
      <c r="N154" s="336"/>
      <c r="O154" s="336"/>
    </row>
    <row r="155" spans="3:15" x14ac:dyDescent="0.2">
      <c r="C155" s="336"/>
      <c r="D155" s="336"/>
      <c r="E155" s="336"/>
      <c r="F155" s="336"/>
      <c r="G155" s="336"/>
      <c r="H155" s="336"/>
      <c r="I155" s="336"/>
      <c r="J155" s="336"/>
      <c r="K155" s="336"/>
      <c r="L155" s="336"/>
      <c r="M155" s="336"/>
      <c r="N155" s="336"/>
      <c r="O155" s="336"/>
    </row>
    <row r="156" spans="3:15" x14ac:dyDescent="0.2">
      <c r="C156" s="336"/>
      <c r="D156" s="336"/>
      <c r="E156" s="336"/>
      <c r="F156" s="336"/>
      <c r="G156" s="336"/>
      <c r="H156" s="336"/>
      <c r="I156" s="336"/>
      <c r="J156" s="336"/>
      <c r="K156" s="336"/>
      <c r="L156" s="336"/>
      <c r="M156" s="336"/>
      <c r="N156" s="336"/>
      <c r="O156" s="336"/>
    </row>
    <row r="157" spans="3:15" x14ac:dyDescent="0.2">
      <c r="C157" s="336"/>
      <c r="D157" s="336"/>
      <c r="E157" s="336"/>
      <c r="F157" s="336"/>
      <c r="G157" s="336"/>
      <c r="H157" s="336"/>
      <c r="I157" s="336"/>
      <c r="J157" s="336"/>
      <c r="K157" s="336"/>
      <c r="L157" s="336"/>
      <c r="M157" s="336"/>
      <c r="N157" s="336"/>
      <c r="O157" s="336"/>
    </row>
    <row r="158" spans="3:15" x14ac:dyDescent="0.2">
      <c r="C158" s="336"/>
      <c r="D158" s="336"/>
      <c r="E158" s="336"/>
      <c r="F158" s="336"/>
      <c r="G158" s="336"/>
      <c r="H158" s="336"/>
      <c r="I158" s="336"/>
      <c r="J158" s="336"/>
      <c r="K158" s="336"/>
      <c r="L158" s="336"/>
      <c r="M158" s="336"/>
      <c r="N158" s="336"/>
      <c r="O158" s="336"/>
    </row>
    <row r="159" spans="3:15" x14ac:dyDescent="0.2">
      <c r="C159" s="336"/>
      <c r="D159" s="336"/>
      <c r="E159" s="336"/>
      <c r="F159" s="336"/>
      <c r="G159" s="336"/>
      <c r="H159" s="336"/>
      <c r="I159" s="336"/>
      <c r="J159" s="336"/>
      <c r="K159" s="336"/>
      <c r="L159" s="336"/>
      <c r="M159" s="336"/>
      <c r="N159" s="336"/>
      <c r="O159" s="336"/>
    </row>
    <row r="160" spans="3:15" x14ac:dyDescent="0.2">
      <c r="C160" s="336"/>
      <c r="D160" s="336"/>
      <c r="E160" s="336"/>
      <c r="F160" s="336"/>
      <c r="G160" s="336"/>
      <c r="H160" s="336"/>
      <c r="I160" s="336"/>
      <c r="J160" s="336"/>
      <c r="K160" s="336"/>
      <c r="L160" s="336"/>
      <c r="M160" s="336"/>
      <c r="N160" s="336"/>
      <c r="O160" s="336"/>
    </row>
    <row r="161" spans="3:15" x14ac:dyDescent="0.2">
      <c r="C161" s="336"/>
      <c r="D161" s="336"/>
      <c r="E161" s="336"/>
      <c r="F161" s="336"/>
      <c r="G161" s="336"/>
      <c r="H161" s="336"/>
      <c r="I161" s="336"/>
      <c r="J161" s="336"/>
      <c r="K161" s="336"/>
      <c r="L161" s="336"/>
      <c r="M161" s="336"/>
      <c r="N161" s="336"/>
      <c r="O161" s="336"/>
    </row>
    <row r="162" spans="3:15" x14ac:dyDescent="0.2">
      <c r="C162" s="336"/>
      <c r="D162" s="336"/>
      <c r="E162" s="336"/>
      <c r="F162" s="336"/>
      <c r="G162" s="336"/>
      <c r="H162" s="336"/>
      <c r="I162" s="336"/>
      <c r="J162" s="336"/>
      <c r="K162" s="336"/>
      <c r="L162" s="336"/>
      <c r="M162" s="336"/>
      <c r="N162" s="336"/>
      <c r="O162" s="336"/>
    </row>
    <row r="163" spans="3:15" x14ac:dyDescent="0.2">
      <c r="C163" s="336"/>
      <c r="D163" s="336"/>
      <c r="E163" s="336"/>
      <c r="F163" s="336"/>
      <c r="G163" s="336"/>
      <c r="H163" s="336"/>
      <c r="I163" s="336"/>
      <c r="J163" s="336"/>
      <c r="K163" s="336"/>
      <c r="L163" s="336"/>
      <c r="M163" s="336"/>
      <c r="N163" s="336"/>
      <c r="O163" s="336"/>
    </row>
    <row r="164" spans="3:15" x14ac:dyDescent="0.2">
      <c r="C164" s="336"/>
      <c r="D164" s="336"/>
      <c r="E164" s="336"/>
      <c r="F164" s="336"/>
      <c r="G164" s="336"/>
      <c r="H164" s="336"/>
      <c r="I164" s="336"/>
      <c r="J164" s="336"/>
      <c r="K164" s="336"/>
      <c r="L164" s="336"/>
      <c r="M164" s="336"/>
      <c r="N164" s="336"/>
      <c r="O164" s="336"/>
    </row>
    <row r="165" spans="3:15" x14ac:dyDescent="0.2">
      <c r="C165" s="336"/>
      <c r="D165" s="336"/>
      <c r="E165" s="336"/>
      <c r="F165" s="336"/>
      <c r="G165" s="336"/>
      <c r="H165" s="336"/>
      <c r="I165" s="336"/>
      <c r="J165" s="336"/>
      <c r="K165" s="336"/>
      <c r="L165" s="336"/>
      <c r="M165" s="336"/>
      <c r="N165" s="336"/>
      <c r="O165" s="336"/>
    </row>
    <row r="166" spans="3:15" x14ac:dyDescent="0.2">
      <c r="C166" s="336"/>
      <c r="D166" s="336"/>
      <c r="E166" s="336"/>
      <c r="F166" s="336"/>
      <c r="G166" s="336"/>
      <c r="H166" s="336"/>
      <c r="I166" s="336"/>
      <c r="J166" s="336"/>
      <c r="K166" s="336"/>
      <c r="L166" s="336"/>
      <c r="M166" s="336"/>
      <c r="N166" s="336"/>
      <c r="O166" s="336"/>
    </row>
    <row r="167" spans="3:15" x14ac:dyDescent="0.2">
      <c r="C167" s="336"/>
      <c r="D167" s="336"/>
      <c r="E167" s="336"/>
      <c r="F167" s="336"/>
      <c r="G167" s="336"/>
      <c r="H167" s="336"/>
      <c r="I167" s="336"/>
      <c r="J167" s="336"/>
      <c r="K167" s="336"/>
      <c r="L167" s="336"/>
      <c r="M167" s="336"/>
      <c r="N167" s="336"/>
      <c r="O167" s="336"/>
    </row>
    <row r="168" spans="3:15" x14ac:dyDescent="0.2">
      <c r="C168" s="336"/>
      <c r="D168" s="336"/>
      <c r="E168" s="336"/>
      <c r="F168" s="336"/>
      <c r="G168" s="336"/>
      <c r="H168" s="336"/>
      <c r="I168" s="336"/>
      <c r="J168" s="336"/>
      <c r="K168" s="336"/>
      <c r="L168" s="336"/>
      <c r="M168" s="336"/>
      <c r="N168" s="336"/>
      <c r="O168" s="336"/>
    </row>
    <row r="169" spans="3:15" x14ac:dyDescent="0.2">
      <c r="C169" s="336"/>
      <c r="D169" s="336"/>
      <c r="E169" s="336"/>
      <c r="F169" s="336"/>
      <c r="G169" s="336"/>
      <c r="H169" s="336"/>
      <c r="I169" s="336"/>
      <c r="J169" s="336"/>
      <c r="K169" s="336"/>
      <c r="L169" s="336"/>
      <c r="M169" s="336"/>
      <c r="N169" s="336"/>
      <c r="O169" s="336"/>
    </row>
    <row r="170" spans="3:15" x14ac:dyDescent="0.2">
      <c r="C170" s="336"/>
      <c r="D170" s="336"/>
      <c r="E170" s="336"/>
      <c r="F170" s="336"/>
      <c r="G170" s="336"/>
      <c r="H170" s="336"/>
      <c r="I170" s="336"/>
      <c r="J170" s="336"/>
      <c r="K170" s="336"/>
      <c r="L170" s="336"/>
      <c r="M170" s="336"/>
      <c r="N170" s="336"/>
      <c r="O170" s="336"/>
    </row>
    <row r="171" spans="3:15" x14ac:dyDescent="0.2">
      <c r="C171" s="336"/>
      <c r="D171" s="336"/>
      <c r="E171" s="336"/>
      <c r="F171" s="336"/>
      <c r="G171" s="336"/>
      <c r="H171" s="336"/>
      <c r="I171" s="336"/>
      <c r="J171" s="336"/>
      <c r="K171" s="336"/>
      <c r="L171" s="336"/>
      <c r="M171" s="336"/>
      <c r="N171" s="336"/>
      <c r="O171" s="336"/>
    </row>
    <row r="172" spans="3:15" x14ac:dyDescent="0.2">
      <c r="C172" s="336"/>
      <c r="D172" s="336"/>
      <c r="E172" s="336"/>
      <c r="F172" s="336"/>
      <c r="G172" s="336"/>
      <c r="H172" s="336"/>
      <c r="I172" s="336"/>
      <c r="J172" s="336"/>
      <c r="K172" s="336"/>
      <c r="L172" s="336"/>
      <c r="M172" s="336"/>
      <c r="N172" s="336"/>
      <c r="O172" s="336"/>
    </row>
    <row r="173" spans="3:15" x14ac:dyDescent="0.2">
      <c r="C173" s="336"/>
      <c r="D173" s="336"/>
      <c r="E173" s="336"/>
      <c r="F173" s="336"/>
      <c r="G173" s="336"/>
      <c r="H173" s="336"/>
      <c r="I173" s="336"/>
      <c r="J173" s="336"/>
      <c r="K173" s="336"/>
      <c r="L173" s="336"/>
      <c r="M173" s="336"/>
      <c r="N173" s="336"/>
      <c r="O173" s="336"/>
    </row>
    <row r="174" spans="3:15" x14ac:dyDescent="0.2">
      <c r="C174" s="336"/>
      <c r="D174" s="336"/>
      <c r="E174" s="336"/>
      <c r="F174" s="336"/>
      <c r="G174" s="336"/>
      <c r="H174" s="336"/>
      <c r="I174" s="336"/>
      <c r="J174" s="336"/>
      <c r="K174" s="336"/>
      <c r="L174" s="336"/>
      <c r="M174" s="336"/>
      <c r="N174" s="336"/>
      <c r="O174" s="336"/>
    </row>
    <row r="175" spans="3:15" x14ac:dyDescent="0.2">
      <c r="C175" s="336"/>
      <c r="D175" s="336"/>
      <c r="E175" s="336"/>
      <c r="F175" s="336"/>
      <c r="G175" s="336"/>
      <c r="H175" s="336"/>
      <c r="I175" s="336"/>
      <c r="J175" s="336"/>
      <c r="K175" s="336"/>
      <c r="L175" s="336"/>
      <c r="M175" s="336"/>
      <c r="N175" s="336"/>
      <c r="O175" s="336"/>
    </row>
    <row r="176" spans="3:15" x14ac:dyDescent="0.2">
      <c r="C176" s="336"/>
      <c r="D176" s="336"/>
      <c r="E176" s="336"/>
      <c r="F176" s="336"/>
      <c r="G176" s="336"/>
      <c r="H176" s="336"/>
      <c r="I176" s="336"/>
      <c r="J176" s="336"/>
      <c r="K176" s="336"/>
      <c r="L176" s="336"/>
      <c r="M176" s="336"/>
      <c r="N176" s="336"/>
      <c r="O176" s="336"/>
    </row>
    <row r="177" spans="3:15" x14ac:dyDescent="0.2">
      <c r="C177" s="336"/>
      <c r="D177" s="336"/>
      <c r="E177" s="336"/>
      <c r="F177" s="336"/>
      <c r="G177" s="336"/>
      <c r="H177" s="336"/>
      <c r="I177" s="336"/>
      <c r="J177" s="336"/>
      <c r="K177" s="336"/>
      <c r="L177" s="336"/>
      <c r="M177" s="336"/>
      <c r="N177" s="336"/>
      <c r="O177" s="336"/>
    </row>
    <row r="178" spans="3:15" x14ac:dyDescent="0.2">
      <c r="C178" s="336"/>
      <c r="D178" s="336"/>
      <c r="E178" s="336"/>
      <c r="F178" s="336"/>
      <c r="G178" s="336"/>
      <c r="H178" s="336"/>
      <c r="I178" s="336"/>
      <c r="J178" s="336"/>
      <c r="K178" s="336"/>
      <c r="L178" s="336"/>
      <c r="M178" s="336"/>
      <c r="N178" s="336"/>
      <c r="O178" s="336"/>
    </row>
    <row r="179" spans="3:15" x14ac:dyDescent="0.2">
      <c r="C179" s="336"/>
      <c r="D179" s="336"/>
      <c r="E179" s="336"/>
      <c r="F179" s="336"/>
      <c r="G179" s="336"/>
      <c r="H179" s="336"/>
      <c r="I179" s="336"/>
      <c r="J179" s="336"/>
      <c r="K179" s="336"/>
      <c r="L179" s="336"/>
      <c r="M179" s="336"/>
      <c r="N179" s="336"/>
      <c r="O179" s="336"/>
    </row>
    <row r="180" spans="3:15" x14ac:dyDescent="0.2">
      <c r="C180" s="336"/>
      <c r="D180" s="336"/>
      <c r="E180" s="336"/>
      <c r="F180" s="336"/>
      <c r="G180" s="336"/>
      <c r="H180" s="336"/>
      <c r="I180" s="336"/>
      <c r="J180" s="336"/>
      <c r="K180" s="336"/>
      <c r="L180" s="336"/>
      <c r="M180" s="336"/>
      <c r="N180" s="336"/>
      <c r="O180" s="336"/>
    </row>
    <row r="181" spans="3:15" x14ac:dyDescent="0.2">
      <c r="C181" s="336"/>
      <c r="D181" s="336"/>
      <c r="E181" s="336"/>
      <c r="F181" s="336"/>
      <c r="G181" s="336"/>
      <c r="H181" s="336"/>
      <c r="I181" s="336"/>
      <c r="J181" s="336"/>
      <c r="K181" s="336"/>
      <c r="L181" s="336"/>
      <c r="M181" s="336"/>
      <c r="N181" s="336"/>
      <c r="O181" s="336"/>
    </row>
    <row r="182" spans="3:15" x14ac:dyDescent="0.2">
      <c r="C182" s="336"/>
      <c r="D182" s="336"/>
      <c r="E182" s="336"/>
      <c r="F182" s="336"/>
      <c r="G182" s="336"/>
      <c r="H182" s="336"/>
      <c r="I182" s="336"/>
      <c r="J182" s="336"/>
      <c r="K182" s="336"/>
      <c r="L182" s="336"/>
      <c r="M182" s="336"/>
      <c r="N182" s="336"/>
      <c r="O182" s="336"/>
    </row>
    <row r="183" spans="3:15" x14ac:dyDescent="0.2">
      <c r="C183" s="336"/>
      <c r="D183" s="336"/>
      <c r="E183" s="336"/>
      <c r="F183" s="336"/>
      <c r="G183" s="336"/>
      <c r="H183" s="336"/>
      <c r="I183" s="336"/>
      <c r="J183" s="336"/>
      <c r="K183" s="336"/>
      <c r="L183" s="336"/>
      <c r="M183" s="336"/>
      <c r="N183" s="336"/>
      <c r="O183" s="336"/>
    </row>
    <row r="184" spans="3:15" x14ac:dyDescent="0.2">
      <c r="C184" s="336"/>
      <c r="D184" s="336"/>
      <c r="E184" s="336"/>
      <c r="F184" s="336"/>
      <c r="G184" s="336"/>
      <c r="H184" s="336"/>
      <c r="I184" s="336"/>
      <c r="J184" s="336"/>
      <c r="K184" s="336"/>
      <c r="L184" s="336"/>
      <c r="M184" s="336"/>
      <c r="N184" s="336"/>
      <c r="O184" s="336"/>
    </row>
    <row r="185" spans="3:15" x14ac:dyDescent="0.2">
      <c r="C185" s="336"/>
      <c r="D185" s="336"/>
      <c r="E185" s="336"/>
      <c r="F185" s="336"/>
      <c r="G185" s="336"/>
      <c r="H185" s="336"/>
      <c r="I185" s="336"/>
      <c r="J185" s="336"/>
      <c r="K185" s="336"/>
      <c r="L185" s="336"/>
      <c r="M185" s="336"/>
      <c r="N185" s="336"/>
      <c r="O185" s="336"/>
    </row>
    <row r="186" spans="3:15" x14ac:dyDescent="0.2">
      <c r="C186" s="336"/>
      <c r="D186" s="336"/>
      <c r="E186" s="336"/>
      <c r="F186" s="336"/>
      <c r="G186" s="336"/>
      <c r="H186" s="336"/>
      <c r="I186" s="336"/>
      <c r="J186" s="336"/>
      <c r="K186" s="336"/>
      <c r="L186" s="336"/>
      <c r="M186" s="336"/>
      <c r="N186" s="336"/>
      <c r="O186" s="336"/>
    </row>
    <row r="187" spans="3:15" x14ac:dyDescent="0.2">
      <c r="C187" s="336"/>
      <c r="D187" s="336"/>
      <c r="E187" s="336"/>
      <c r="F187" s="336"/>
      <c r="G187" s="336"/>
      <c r="H187" s="336"/>
      <c r="I187" s="336"/>
      <c r="J187" s="336"/>
      <c r="K187" s="336"/>
      <c r="L187" s="336"/>
      <c r="M187" s="336"/>
      <c r="N187" s="336"/>
      <c r="O187" s="336"/>
    </row>
    <row r="188" spans="3:15" x14ac:dyDescent="0.2">
      <c r="C188" s="336"/>
      <c r="D188" s="336"/>
      <c r="E188" s="336"/>
      <c r="F188" s="336"/>
      <c r="G188" s="336"/>
      <c r="H188" s="336"/>
      <c r="I188" s="336"/>
      <c r="J188" s="336"/>
      <c r="K188" s="336"/>
      <c r="L188" s="336"/>
      <c r="M188" s="336"/>
      <c r="N188" s="336"/>
      <c r="O188" s="336"/>
    </row>
    <row r="189" spans="3:15" x14ac:dyDescent="0.2">
      <c r="C189" s="336"/>
      <c r="D189" s="336"/>
      <c r="E189" s="336"/>
      <c r="F189" s="336"/>
      <c r="G189" s="336"/>
      <c r="H189" s="336"/>
      <c r="I189" s="336"/>
      <c r="J189" s="336"/>
      <c r="K189" s="336"/>
      <c r="L189" s="336"/>
      <c r="M189" s="336"/>
      <c r="N189" s="336"/>
      <c r="O189" s="336"/>
    </row>
    <row r="190" spans="3:15" x14ac:dyDescent="0.2">
      <c r="C190" s="336"/>
      <c r="D190" s="336"/>
      <c r="E190" s="336"/>
      <c r="F190" s="336"/>
      <c r="G190" s="336"/>
      <c r="H190" s="336"/>
      <c r="I190" s="336"/>
      <c r="J190" s="336"/>
      <c r="K190" s="336"/>
      <c r="L190" s="336"/>
      <c r="M190" s="336"/>
      <c r="N190" s="336"/>
      <c r="O190" s="336"/>
    </row>
    <row r="191" spans="3:15" x14ac:dyDescent="0.2">
      <c r="C191" s="336"/>
      <c r="D191" s="336"/>
      <c r="E191" s="336"/>
      <c r="F191" s="336"/>
      <c r="G191" s="336"/>
      <c r="H191" s="336"/>
      <c r="I191" s="336"/>
      <c r="J191" s="336"/>
      <c r="K191" s="336"/>
      <c r="L191" s="336"/>
      <c r="M191" s="336"/>
      <c r="N191" s="336"/>
      <c r="O191" s="336"/>
    </row>
    <row r="192" spans="3:15" x14ac:dyDescent="0.2">
      <c r="C192" s="336"/>
      <c r="D192" s="336"/>
      <c r="E192" s="336"/>
      <c r="F192" s="336"/>
      <c r="G192" s="336"/>
      <c r="H192" s="336"/>
      <c r="I192" s="336"/>
      <c r="J192" s="336"/>
      <c r="K192" s="336"/>
      <c r="L192" s="336"/>
      <c r="M192" s="336"/>
      <c r="N192" s="336"/>
      <c r="O192" s="336"/>
    </row>
    <row r="193" spans="3:15" x14ac:dyDescent="0.2">
      <c r="C193" s="336"/>
      <c r="D193" s="336"/>
      <c r="E193" s="336"/>
      <c r="F193" s="336"/>
      <c r="G193" s="336"/>
      <c r="H193" s="336"/>
      <c r="I193" s="336"/>
      <c r="J193" s="336"/>
      <c r="K193" s="336"/>
      <c r="L193" s="336"/>
      <c r="M193" s="336"/>
      <c r="N193" s="336"/>
      <c r="O193" s="336"/>
    </row>
    <row r="194" spans="3:15" x14ac:dyDescent="0.2">
      <c r="C194" s="336"/>
      <c r="D194" s="336"/>
      <c r="E194" s="336"/>
      <c r="F194" s="336"/>
      <c r="G194" s="336"/>
      <c r="H194" s="336"/>
      <c r="I194" s="336"/>
      <c r="J194" s="336"/>
      <c r="K194" s="336"/>
      <c r="L194" s="336"/>
      <c r="M194" s="336"/>
      <c r="N194" s="336"/>
      <c r="O194" s="336"/>
    </row>
    <row r="195" spans="3:15" x14ac:dyDescent="0.2">
      <c r="C195" s="336"/>
      <c r="D195" s="336"/>
      <c r="E195" s="336"/>
      <c r="F195" s="336"/>
      <c r="G195" s="336"/>
      <c r="H195" s="336"/>
      <c r="I195" s="336"/>
      <c r="J195" s="336"/>
      <c r="K195" s="336"/>
      <c r="L195" s="336"/>
      <c r="M195" s="336"/>
      <c r="N195" s="336"/>
      <c r="O195" s="336"/>
    </row>
    <row r="196" spans="3:15" x14ac:dyDescent="0.2">
      <c r="C196" s="336"/>
      <c r="D196" s="336"/>
      <c r="E196" s="336"/>
      <c r="F196" s="336"/>
      <c r="G196" s="336"/>
      <c r="H196" s="336"/>
      <c r="I196" s="336"/>
      <c r="J196" s="336"/>
      <c r="K196" s="336"/>
      <c r="L196" s="336"/>
      <c r="M196" s="336"/>
      <c r="N196" s="336"/>
      <c r="O196" s="336"/>
    </row>
    <row r="197" spans="3:15" x14ac:dyDescent="0.2">
      <c r="C197" s="336"/>
      <c r="D197" s="336"/>
      <c r="E197" s="336"/>
      <c r="F197" s="336"/>
      <c r="G197" s="336"/>
      <c r="H197" s="336"/>
      <c r="I197" s="336"/>
      <c r="J197" s="336"/>
      <c r="K197" s="336"/>
      <c r="L197" s="336"/>
      <c r="M197" s="336"/>
      <c r="N197" s="336"/>
      <c r="O197" s="336"/>
    </row>
    <row r="198" spans="3:15" x14ac:dyDescent="0.2">
      <c r="C198" s="336"/>
      <c r="D198" s="336"/>
      <c r="E198" s="336"/>
      <c r="F198" s="336"/>
      <c r="G198" s="336"/>
      <c r="H198" s="336"/>
      <c r="I198" s="336"/>
      <c r="J198" s="336"/>
      <c r="K198" s="336"/>
      <c r="L198" s="336"/>
      <c r="M198" s="336"/>
      <c r="N198" s="336"/>
      <c r="O198" s="336"/>
    </row>
    <row r="199" spans="3:15" x14ac:dyDescent="0.2">
      <c r="C199" s="336"/>
      <c r="D199" s="336"/>
      <c r="E199" s="336"/>
      <c r="F199" s="336"/>
      <c r="G199" s="336"/>
      <c r="H199" s="336"/>
      <c r="I199" s="336"/>
      <c r="J199" s="336"/>
      <c r="K199" s="336"/>
      <c r="L199" s="336"/>
      <c r="M199" s="336"/>
      <c r="N199" s="336"/>
      <c r="O199" s="336"/>
    </row>
    <row r="200" spans="3:15" x14ac:dyDescent="0.2">
      <c r="C200" s="336"/>
      <c r="D200" s="336"/>
      <c r="E200" s="336"/>
      <c r="F200" s="336"/>
      <c r="G200" s="336"/>
      <c r="H200" s="336"/>
      <c r="I200" s="336"/>
      <c r="J200" s="336"/>
      <c r="K200" s="336"/>
      <c r="L200" s="336"/>
      <c r="M200" s="336"/>
      <c r="N200" s="336"/>
      <c r="O200" s="336"/>
    </row>
    <row r="201" spans="3:15" x14ac:dyDescent="0.2">
      <c r="C201" s="336"/>
      <c r="D201" s="336"/>
      <c r="E201" s="336"/>
      <c r="F201" s="336"/>
      <c r="G201" s="336"/>
      <c r="H201" s="336"/>
      <c r="I201" s="336"/>
      <c r="J201" s="336"/>
      <c r="K201" s="336"/>
      <c r="L201" s="336"/>
      <c r="M201" s="336"/>
      <c r="N201" s="336"/>
      <c r="O201" s="336"/>
    </row>
    <row r="202" spans="3:15" x14ac:dyDescent="0.2">
      <c r="C202" s="336"/>
      <c r="D202" s="336"/>
      <c r="E202" s="336"/>
      <c r="F202" s="336"/>
      <c r="G202" s="336"/>
      <c r="H202" s="336"/>
      <c r="I202" s="336"/>
      <c r="J202" s="336"/>
      <c r="K202" s="336"/>
      <c r="L202" s="336"/>
      <c r="M202" s="336"/>
      <c r="N202" s="336"/>
      <c r="O202" s="336"/>
    </row>
    <row r="203" spans="3:15" x14ac:dyDescent="0.2">
      <c r="C203" s="336"/>
      <c r="D203" s="336"/>
      <c r="E203" s="336"/>
      <c r="F203" s="336"/>
      <c r="G203" s="336"/>
      <c r="H203" s="336"/>
      <c r="I203" s="336"/>
      <c r="J203" s="336"/>
      <c r="K203" s="336"/>
      <c r="L203" s="336"/>
      <c r="M203" s="336"/>
      <c r="N203" s="336"/>
      <c r="O203" s="336"/>
    </row>
    <row r="204" spans="3:15" x14ac:dyDescent="0.2">
      <c r="C204" s="336"/>
      <c r="D204" s="336"/>
      <c r="E204" s="336"/>
      <c r="F204" s="336"/>
      <c r="G204" s="336"/>
      <c r="H204" s="336"/>
      <c r="I204" s="336"/>
      <c r="J204" s="336"/>
      <c r="K204" s="336"/>
      <c r="L204" s="336"/>
      <c r="M204" s="336"/>
      <c r="N204" s="336"/>
      <c r="O204" s="336"/>
    </row>
    <row r="205" spans="3:15" x14ac:dyDescent="0.2">
      <c r="C205" s="336"/>
      <c r="D205" s="336"/>
      <c r="E205" s="336"/>
      <c r="F205" s="336"/>
      <c r="G205" s="336"/>
      <c r="H205" s="336"/>
      <c r="I205" s="336"/>
      <c r="J205" s="336"/>
      <c r="K205" s="336"/>
      <c r="L205" s="336"/>
      <c r="M205" s="336"/>
      <c r="N205" s="336"/>
      <c r="O205" s="336"/>
    </row>
    <row r="206" spans="3:15" x14ac:dyDescent="0.2">
      <c r="C206" s="336"/>
      <c r="D206" s="336"/>
      <c r="E206" s="336"/>
      <c r="F206" s="336"/>
      <c r="G206" s="336"/>
      <c r="H206" s="336"/>
      <c r="I206" s="336"/>
      <c r="J206" s="336"/>
      <c r="K206" s="336"/>
      <c r="L206" s="336"/>
      <c r="M206" s="336"/>
      <c r="N206" s="336"/>
      <c r="O206" s="336"/>
    </row>
    <row r="207" spans="3:15" x14ac:dyDescent="0.2">
      <c r="C207" s="336"/>
      <c r="D207" s="336"/>
      <c r="E207" s="336"/>
      <c r="F207" s="336"/>
      <c r="G207" s="336"/>
      <c r="H207" s="336"/>
      <c r="I207" s="336"/>
      <c r="J207" s="336"/>
      <c r="K207" s="336"/>
      <c r="L207" s="336"/>
      <c r="M207" s="336"/>
      <c r="N207" s="336"/>
      <c r="O207" s="336"/>
    </row>
    <row r="208" spans="3:15" x14ac:dyDescent="0.2">
      <c r="C208" s="336"/>
      <c r="D208" s="336"/>
      <c r="E208" s="336"/>
      <c r="F208" s="336"/>
      <c r="G208" s="336"/>
      <c r="H208" s="336"/>
      <c r="I208" s="336"/>
      <c r="J208" s="336"/>
      <c r="K208" s="336"/>
      <c r="L208" s="336"/>
      <c r="M208" s="336"/>
      <c r="N208" s="336"/>
      <c r="O208" s="336"/>
    </row>
    <row r="209" spans="3:15" x14ac:dyDescent="0.2">
      <c r="C209" s="336"/>
      <c r="D209" s="336"/>
      <c r="E209" s="336"/>
      <c r="F209" s="336"/>
      <c r="G209" s="336"/>
      <c r="H209" s="336"/>
      <c r="I209" s="336"/>
      <c r="J209" s="336"/>
      <c r="K209" s="336"/>
      <c r="L209" s="336"/>
      <c r="M209" s="336"/>
      <c r="N209" s="336"/>
      <c r="O209" s="336"/>
    </row>
    <row r="210" spans="3:15" x14ac:dyDescent="0.2">
      <c r="C210" s="336"/>
      <c r="D210" s="336"/>
      <c r="E210" s="336"/>
      <c r="F210" s="336"/>
      <c r="G210" s="336"/>
      <c r="H210" s="336"/>
      <c r="I210" s="336"/>
      <c r="J210" s="336"/>
      <c r="K210" s="336"/>
      <c r="L210" s="336"/>
      <c r="M210" s="336"/>
      <c r="N210" s="336"/>
      <c r="O210" s="336"/>
    </row>
    <row r="211" spans="3:15" x14ac:dyDescent="0.2">
      <c r="C211" s="336"/>
      <c r="D211" s="336"/>
      <c r="E211" s="336"/>
      <c r="F211" s="336"/>
      <c r="G211" s="336"/>
      <c r="H211" s="336"/>
      <c r="I211" s="336"/>
      <c r="J211" s="336"/>
      <c r="K211" s="336"/>
      <c r="L211" s="336"/>
      <c r="M211" s="336"/>
      <c r="N211" s="336"/>
      <c r="O211" s="336"/>
    </row>
    <row r="212" spans="3:15" x14ac:dyDescent="0.2">
      <c r="C212" s="336"/>
      <c r="D212" s="336"/>
      <c r="E212" s="336"/>
      <c r="F212" s="336"/>
      <c r="G212" s="336"/>
      <c r="H212" s="336"/>
      <c r="I212" s="336"/>
      <c r="J212" s="336"/>
      <c r="K212" s="336"/>
      <c r="L212" s="336"/>
      <c r="M212" s="336"/>
      <c r="N212" s="336"/>
      <c r="O212" s="336"/>
    </row>
    <row r="213" spans="3:15" x14ac:dyDescent="0.2">
      <c r="C213" s="336"/>
      <c r="D213" s="336"/>
      <c r="E213" s="336"/>
      <c r="F213" s="336"/>
      <c r="G213" s="336"/>
      <c r="H213" s="336"/>
      <c r="I213" s="336"/>
      <c r="J213" s="336"/>
      <c r="K213" s="336"/>
      <c r="L213" s="336"/>
      <c r="M213" s="336"/>
      <c r="N213" s="336"/>
      <c r="O213" s="336"/>
    </row>
    <row r="214" spans="3:15" x14ac:dyDescent="0.2">
      <c r="C214" s="336"/>
      <c r="D214" s="336"/>
      <c r="E214" s="336"/>
      <c r="F214" s="336"/>
      <c r="G214" s="336"/>
      <c r="H214" s="336"/>
      <c r="I214" s="336"/>
      <c r="J214" s="336"/>
      <c r="K214" s="336"/>
      <c r="L214" s="336"/>
      <c r="M214" s="336"/>
      <c r="N214" s="336"/>
      <c r="O214" s="336"/>
    </row>
    <row r="215" spans="3:15" x14ac:dyDescent="0.2">
      <c r="C215" s="336"/>
      <c r="D215" s="336"/>
      <c r="E215" s="336"/>
      <c r="F215" s="336"/>
      <c r="G215" s="336"/>
      <c r="H215" s="336"/>
      <c r="I215" s="336"/>
      <c r="J215" s="336"/>
      <c r="K215" s="336"/>
      <c r="L215" s="336"/>
      <c r="M215" s="336"/>
      <c r="N215" s="336"/>
      <c r="O215" s="336"/>
    </row>
    <row r="216" spans="3:15" x14ac:dyDescent="0.2">
      <c r="C216" s="336"/>
      <c r="D216" s="336"/>
      <c r="E216" s="336"/>
      <c r="F216" s="336"/>
      <c r="G216" s="336"/>
      <c r="H216" s="336"/>
      <c r="I216" s="336"/>
      <c r="J216" s="336"/>
      <c r="K216" s="336"/>
      <c r="L216" s="336"/>
      <c r="M216" s="336"/>
      <c r="N216" s="336"/>
      <c r="O216" s="336"/>
    </row>
    <row r="217" spans="3:15" x14ac:dyDescent="0.2">
      <c r="C217" s="336"/>
      <c r="D217" s="336"/>
      <c r="E217" s="336"/>
      <c r="F217" s="336"/>
      <c r="G217" s="336"/>
      <c r="H217" s="336"/>
      <c r="I217" s="336"/>
      <c r="J217" s="336"/>
      <c r="K217" s="336"/>
      <c r="L217" s="336"/>
      <c r="M217" s="336"/>
      <c r="N217" s="336"/>
      <c r="O217" s="336"/>
    </row>
    <row r="218" spans="3:15" x14ac:dyDescent="0.2">
      <c r="C218" s="336"/>
      <c r="D218" s="336"/>
      <c r="E218" s="336"/>
      <c r="F218" s="336"/>
      <c r="G218" s="336"/>
      <c r="H218" s="336"/>
      <c r="I218" s="336"/>
      <c r="J218" s="336"/>
      <c r="K218" s="336"/>
      <c r="L218" s="336"/>
      <c r="M218" s="336"/>
      <c r="N218" s="336"/>
      <c r="O218" s="336"/>
    </row>
    <row r="219" spans="3:15" x14ac:dyDescent="0.2">
      <c r="C219" s="336"/>
      <c r="D219" s="336"/>
      <c r="E219" s="336"/>
      <c r="F219" s="336"/>
      <c r="G219" s="336"/>
      <c r="H219" s="336"/>
      <c r="I219" s="336"/>
      <c r="J219" s="336"/>
      <c r="K219" s="336"/>
      <c r="L219" s="336"/>
      <c r="M219" s="336"/>
      <c r="N219" s="336"/>
      <c r="O219" s="336"/>
    </row>
    <row r="220" spans="3:15" x14ac:dyDescent="0.2">
      <c r="C220" s="336"/>
      <c r="D220" s="336"/>
      <c r="E220" s="336"/>
      <c r="F220" s="336"/>
      <c r="G220" s="336"/>
      <c r="H220" s="336"/>
      <c r="I220" s="336"/>
      <c r="J220" s="336"/>
      <c r="K220" s="336"/>
      <c r="L220" s="336"/>
      <c r="M220" s="336"/>
      <c r="N220" s="336"/>
      <c r="O220" s="336"/>
    </row>
    <row r="221" spans="3:15" x14ac:dyDescent="0.2">
      <c r="C221" s="336"/>
      <c r="D221" s="336"/>
      <c r="E221" s="336"/>
      <c r="F221" s="336"/>
      <c r="G221" s="336"/>
      <c r="H221" s="336"/>
      <c r="I221" s="336"/>
      <c r="J221" s="336"/>
      <c r="K221" s="336"/>
      <c r="L221" s="336"/>
      <c r="M221" s="336"/>
      <c r="N221" s="336"/>
      <c r="O221" s="336"/>
    </row>
    <row r="222" spans="3:15" x14ac:dyDescent="0.2">
      <c r="C222" s="336"/>
      <c r="D222" s="336"/>
      <c r="E222" s="336"/>
      <c r="F222" s="336"/>
      <c r="G222" s="336"/>
      <c r="H222" s="336"/>
      <c r="I222" s="336"/>
      <c r="J222" s="336"/>
      <c r="K222" s="336"/>
      <c r="L222" s="336"/>
      <c r="M222" s="336"/>
      <c r="N222" s="336"/>
      <c r="O222" s="336"/>
    </row>
    <row r="223" spans="3:15" x14ac:dyDescent="0.2">
      <c r="C223" s="336"/>
      <c r="D223" s="336"/>
      <c r="E223" s="336"/>
      <c r="F223" s="336"/>
      <c r="G223" s="336"/>
      <c r="H223" s="336"/>
      <c r="I223" s="336"/>
      <c r="J223" s="336"/>
      <c r="K223" s="336"/>
      <c r="L223" s="336"/>
      <c r="M223" s="336"/>
      <c r="N223" s="336"/>
      <c r="O223" s="336"/>
    </row>
    <row r="224" spans="3:15" x14ac:dyDescent="0.2">
      <c r="C224" s="336"/>
      <c r="D224" s="336"/>
      <c r="E224" s="336"/>
      <c r="F224" s="336"/>
      <c r="G224" s="336"/>
      <c r="H224" s="336"/>
      <c r="I224" s="336"/>
      <c r="J224" s="336"/>
      <c r="K224" s="336"/>
      <c r="L224" s="336"/>
      <c r="M224" s="336"/>
      <c r="N224" s="336"/>
      <c r="O224" s="336"/>
    </row>
    <row r="225" spans="3:15" x14ac:dyDescent="0.2">
      <c r="C225" s="336"/>
      <c r="D225" s="336"/>
      <c r="E225" s="336"/>
      <c r="F225" s="336"/>
      <c r="G225" s="336"/>
      <c r="H225" s="336"/>
      <c r="I225" s="336"/>
      <c r="J225" s="336"/>
      <c r="K225" s="336"/>
      <c r="L225" s="336"/>
      <c r="M225" s="336"/>
      <c r="N225" s="336"/>
      <c r="O225" s="336"/>
    </row>
    <row r="226" spans="3:15" x14ac:dyDescent="0.2">
      <c r="C226" s="336"/>
      <c r="D226" s="336"/>
      <c r="E226" s="336"/>
      <c r="F226" s="336"/>
      <c r="G226" s="336"/>
      <c r="H226" s="336"/>
      <c r="I226" s="336"/>
      <c r="J226" s="336"/>
      <c r="K226" s="336"/>
      <c r="L226" s="336"/>
      <c r="M226" s="336"/>
      <c r="N226" s="336"/>
      <c r="O226" s="336"/>
    </row>
  </sheetData>
  <mergeCells count="47">
    <mergeCell ref="C30:O30"/>
    <mergeCell ref="C9:H9"/>
    <mergeCell ref="E27:F27"/>
    <mergeCell ref="H27:I27"/>
    <mergeCell ref="K27:L27"/>
    <mergeCell ref="N27:O27"/>
    <mergeCell ref="D28:F28"/>
    <mergeCell ref="G28:I28"/>
    <mergeCell ref="J28:L28"/>
    <mergeCell ref="M28:O28"/>
    <mergeCell ref="D25:F25"/>
    <mergeCell ref="G25:I25"/>
    <mergeCell ref="J25:L25"/>
    <mergeCell ref="M25:O25"/>
    <mergeCell ref="D26:F26"/>
    <mergeCell ref="G33:I33"/>
    <mergeCell ref="D31:F31"/>
    <mergeCell ref="D32:F32"/>
    <mergeCell ref="D33:F33"/>
    <mergeCell ref="J31:L31"/>
    <mergeCell ref="G31:I31"/>
    <mergeCell ref="G32:I32"/>
    <mergeCell ref="M31:O31"/>
    <mergeCell ref="J32:L32"/>
    <mergeCell ref="M32:O32"/>
    <mergeCell ref="J33:L33"/>
    <mergeCell ref="M33:O33"/>
    <mergeCell ref="G26:I26"/>
    <mergeCell ref="J26:L26"/>
    <mergeCell ref="M26:O26"/>
    <mergeCell ref="V10:Y10"/>
    <mergeCell ref="AA10:AD10"/>
    <mergeCell ref="D24:F24"/>
    <mergeCell ref="G24:I24"/>
    <mergeCell ref="J24:L24"/>
    <mergeCell ref="M24:O24"/>
    <mergeCell ref="I3:O3"/>
    <mergeCell ref="I9:O9"/>
    <mergeCell ref="D8:F8"/>
    <mergeCell ref="D7:F7"/>
    <mergeCell ref="D6:F6"/>
    <mergeCell ref="D5:F5"/>
    <mergeCell ref="C10:C11"/>
    <mergeCell ref="D10:F10"/>
    <mergeCell ref="G10:I10"/>
    <mergeCell ref="J10:L10"/>
    <mergeCell ref="M10:O10"/>
  </mergeCells>
  <conditionalFormatting sqref="K19">
    <cfRule type="cellIs" dxfId="8" priority="69" operator="lessThan">
      <formula>$J$19</formula>
    </cfRule>
  </conditionalFormatting>
  <conditionalFormatting sqref="K19">
    <cfRule type="cellIs" dxfId="7" priority="68" operator="lessThan">
      <formula>$J$19</formula>
    </cfRule>
  </conditionalFormatting>
  <conditionalFormatting sqref="K18">
    <cfRule type="cellIs" dxfId="6" priority="48" operator="lessThan">
      <formula>$J$19</formula>
    </cfRule>
  </conditionalFormatting>
  <conditionalFormatting sqref="K18">
    <cfRule type="cellIs" dxfId="5" priority="47" operator="lessThan">
      <formula>$J$19</formula>
    </cfRule>
  </conditionalFormatting>
  <conditionalFormatting sqref="H15">
    <cfRule type="cellIs" dxfId="4" priority="18" operator="lessThan">
      <formula>2</formula>
    </cfRule>
  </conditionalFormatting>
  <conditionalFormatting sqref="K18">
    <cfRule type="cellIs" dxfId="3" priority="13" operator="lessThan">
      <formula>$J$19</formula>
    </cfRule>
  </conditionalFormatting>
  <conditionalFormatting sqref="K18">
    <cfRule type="cellIs" dxfId="2" priority="12" operator="lessThan">
      <formula>$J$19</formula>
    </cfRule>
  </conditionalFormatting>
  <conditionalFormatting sqref="K17">
    <cfRule type="cellIs" dxfId="1" priority="11" operator="lessThan">
      <formula>$J$19</formula>
    </cfRule>
  </conditionalFormatting>
  <conditionalFormatting sqref="K17">
    <cfRule type="cellIs" dxfId="0" priority="10" operator="lessThan">
      <formula>$J$19</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User</vt:lpstr>
      <vt:lpstr>Account Fix</vt:lpstr>
      <vt:lpstr>Team Performance</vt:lpstr>
      <vt:lpstr>Dashboard</vt:lpstr>
    </vt:vector>
  </TitlesOfParts>
  <Company>Teleperformance UK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Saima Begum</dc:creator>
  <cp:lastModifiedBy>Phillip Dearn</cp:lastModifiedBy>
  <cp:lastPrinted>2015-05-07T11:33:03Z</cp:lastPrinted>
  <dcterms:created xsi:type="dcterms:W3CDTF">2015-04-14T09:52:13Z</dcterms:created>
  <dcterms:modified xsi:type="dcterms:W3CDTF">2016-08-09T07:37:07Z</dcterms:modified>
</cp:coreProperties>
</file>