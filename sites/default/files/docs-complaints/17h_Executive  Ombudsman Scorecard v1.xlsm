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Nazanin\users\BACK\Phillip.Dearn\From Sarb\Question 17 Attachment Redone\"/>
    </mc:Choice>
  </mc:AlternateContent>
  <bookViews>
    <workbookView xWindow="0" yWindow="0" windowWidth="21600" windowHeight="11025" activeTab="4"/>
  </bookViews>
  <sheets>
    <sheet name="Ombudsman" sheetId="8" r:id="rId1"/>
    <sheet name="Executive" sheetId="2" r:id="rId2"/>
    <sheet name="Account Fix" sheetId="7" r:id="rId3"/>
    <sheet name="Team Performance" sheetId="3" r:id="rId4"/>
    <sheet name="Dashboard" sheetId="5" r:id="rId5"/>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2" i="8" l="1"/>
  <c r="J27" i="5" l="1"/>
  <c r="K27" i="5" l="1"/>
  <c r="N27" i="5"/>
  <c r="M27" i="5"/>
  <c r="I62" i="8" l="1"/>
  <c r="H62" i="8"/>
  <c r="G62" i="8"/>
  <c r="E62" i="8"/>
  <c r="D62" i="8"/>
  <c r="D64" i="8" l="1"/>
  <c r="E64" i="8" s="1"/>
  <c r="J53" i="7"/>
  <c r="I53" i="7"/>
  <c r="H53" i="7"/>
  <c r="G53" i="7"/>
  <c r="F53" i="7"/>
  <c r="E53" i="7"/>
  <c r="E55" i="7" s="1"/>
  <c r="F55" i="7" s="1"/>
  <c r="G53" i="2" l="1"/>
  <c r="F53" i="2"/>
  <c r="H53" i="2"/>
  <c r="I53" i="2"/>
  <c r="J53" i="2"/>
  <c r="E53" i="2"/>
  <c r="E55" i="2" l="1"/>
  <c r="F55" i="2" s="1"/>
  <c r="I33" i="5"/>
  <c r="H33" i="5"/>
  <c r="F33" i="5"/>
  <c r="D33" i="5"/>
  <c r="M28" i="5"/>
  <c r="J28" i="5"/>
  <c r="G28" i="5"/>
  <c r="D28" i="5"/>
  <c r="I27" i="5"/>
  <c r="G27" i="5"/>
  <c r="D27" i="5"/>
  <c r="AF26" i="5"/>
  <c r="AE26" i="5"/>
  <c r="AD26" i="5"/>
  <c r="AC26" i="5"/>
  <c r="AA26" i="5"/>
  <c r="Z26" i="5"/>
  <c r="Y26" i="5"/>
  <c r="X26" i="5"/>
  <c r="AF25" i="5"/>
  <c r="AE25" i="5"/>
  <c r="AD25" i="5"/>
  <c r="AC25" i="5"/>
  <c r="AA25" i="5"/>
  <c r="Z25" i="5"/>
  <c r="Y25" i="5"/>
  <c r="X25" i="5"/>
  <c r="AF24" i="5"/>
  <c r="AE24" i="5"/>
  <c r="AD24" i="5"/>
  <c r="AC24" i="5"/>
  <c r="AA24" i="5"/>
  <c r="Z24" i="5"/>
  <c r="Y24" i="5"/>
  <c r="X24" i="5"/>
  <c r="AF23" i="5"/>
  <c r="AE23" i="5"/>
  <c r="AD23" i="5"/>
  <c r="AC23" i="5"/>
  <c r="AA23" i="5"/>
  <c r="Z23" i="5"/>
  <c r="Y23" i="5"/>
  <c r="X23" i="5"/>
  <c r="AF22" i="5"/>
  <c r="AE22" i="5"/>
  <c r="AD22" i="5"/>
  <c r="AC22" i="5"/>
  <c r="AA22" i="5"/>
  <c r="Z22" i="5"/>
  <c r="Y22" i="5"/>
  <c r="X22" i="5"/>
  <c r="AF21" i="5"/>
  <c r="AE21" i="5"/>
  <c r="AD21" i="5"/>
  <c r="AC21" i="5"/>
  <c r="AA21" i="5"/>
  <c r="Z21" i="5"/>
  <c r="Y21" i="5"/>
  <c r="X21" i="5"/>
  <c r="AF20" i="5"/>
  <c r="AE20" i="5"/>
  <c r="AD20" i="5"/>
  <c r="AC20" i="5"/>
  <c r="AA20" i="5"/>
  <c r="Z20" i="5"/>
  <c r="Y20" i="5"/>
  <c r="X20" i="5"/>
  <c r="AF19" i="5"/>
  <c r="AE19" i="5"/>
  <c r="AD19" i="5"/>
  <c r="AC19" i="5"/>
  <c r="AA19" i="5"/>
  <c r="Z19" i="5"/>
  <c r="Y19" i="5"/>
  <c r="X19" i="5"/>
  <c r="AF18" i="5"/>
  <c r="AE18" i="5"/>
  <c r="AD18" i="5"/>
  <c r="AC18" i="5"/>
  <c r="AA18" i="5"/>
  <c r="Z18" i="5"/>
  <c r="Y18" i="5"/>
  <c r="X18" i="5"/>
  <c r="AF17" i="5"/>
  <c r="AE17" i="5"/>
  <c r="AD17" i="5"/>
  <c r="AC17" i="5"/>
  <c r="AA17" i="5"/>
  <c r="Z17" i="5"/>
  <c r="Y17" i="5"/>
  <c r="X17" i="5"/>
  <c r="AF16" i="5"/>
  <c r="AE16" i="5"/>
  <c r="AD16" i="5"/>
  <c r="AC16" i="5"/>
  <c r="AA16" i="5"/>
  <c r="Z16" i="5"/>
  <c r="Y16" i="5"/>
  <c r="X16" i="5"/>
  <c r="AF15" i="5"/>
  <c r="AE15" i="5"/>
  <c r="AD15" i="5"/>
  <c r="AC15" i="5"/>
  <c r="AA15" i="5"/>
  <c r="Z15" i="5"/>
  <c r="Y15" i="5"/>
  <c r="X15" i="5"/>
  <c r="AF14" i="5"/>
  <c r="AE14" i="5"/>
  <c r="AD14" i="5"/>
  <c r="AC14" i="5"/>
  <c r="AA14" i="5"/>
  <c r="Z14" i="5"/>
  <c r="Y14" i="5"/>
  <c r="X14" i="5"/>
  <c r="AF13" i="5"/>
  <c r="AF27" i="5" s="1"/>
  <c r="AE13" i="5"/>
  <c r="AD13" i="5"/>
  <c r="AD27" i="5" s="1"/>
  <c r="G29" i="5" s="1"/>
  <c r="G30" i="5" s="1"/>
  <c r="AC13" i="5"/>
  <c r="AC27" i="5" s="1"/>
  <c r="D29" i="5" s="1"/>
  <c r="D30" i="5" s="1"/>
  <c r="AA13" i="5"/>
  <c r="Z13" i="5"/>
  <c r="Y13" i="5"/>
  <c r="X13" i="5"/>
  <c r="X27" i="5" s="1"/>
  <c r="K31" i="5" l="1"/>
  <c r="J32" i="5" s="1"/>
  <c r="N31" i="5"/>
  <c r="H31" i="5"/>
  <c r="G32" i="5" s="1"/>
  <c r="M29" i="5"/>
  <c r="M30" i="5" s="1"/>
  <c r="AE27" i="5"/>
  <c r="J29" i="5" s="1"/>
  <c r="J30" i="5" s="1"/>
  <c r="E31" i="5"/>
  <c r="D32" i="5" s="1"/>
  <c r="AE32" i="5"/>
  <c r="Y27" i="5"/>
  <c r="Z27" i="5"/>
  <c r="AA27" i="5"/>
</calcChain>
</file>

<file path=xl/comments1.xml><?xml version="1.0" encoding="utf-8"?>
<comments xmlns="http://schemas.openxmlformats.org/spreadsheetml/2006/main">
  <authors>
    <author>Saima Begum</author>
    <author>Author</author>
  </authors>
  <commentList>
    <comment ref="C19" authorId="0" shapeId="0">
      <text>
        <r>
          <rPr>
            <sz val="10"/>
            <color indexed="81"/>
            <rFont val="Tahoma"/>
            <family val="2"/>
          </rPr>
          <t>- calls made to customer
- Actions taken 
- Agents signature included 
- note to include detailed information</t>
        </r>
      </text>
    </comment>
    <comment ref="C20" authorId="0" shapeId="0">
      <text>
        <r>
          <rPr>
            <b/>
            <sz val="9"/>
            <color indexed="81"/>
            <rFont val="Tahoma"/>
            <family val="2"/>
          </rPr>
          <t>New
Pend
Resolved</t>
        </r>
      </text>
    </comment>
    <comment ref="C21" authorId="0" shapeId="0">
      <text>
        <r>
          <rPr>
            <b/>
            <sz val="9"/>
            <color indexed="81"/>
            <rFont val="Tahoma"/>
            <family val="2"/>
          </rPr>
          <t>New
Pend
Resolved</t>
        </r>
      </text>
    </comment>
    <comment ref="C24" authorId="0" shapeId="0">
      <text>
        <r>
          <rPr>
            <b/>
            <sz val="9"/>
            <color indexed="81"/>
            <rFont val="Tahoma"/>
            <family val="2"/>
          </rPr>
          <t>Agent to complete: 
- Customer details
- What the complaint was about? 
- Customers quiries
- Actions by ExtraEnergy
- Conclusion 
- Proposal</t>
        </r>
      </text>
    </comment>
    <comment ref="C29" authorId="1" shapeId="0">
      <text>
        <r>
          <rPr>
            <sz val="10"/>
            <color indexed="81"/>
            <rFont val="Tahoma"/>
            <family val="2"/>
          </rPr>
          <t xml:space="preserve">Is the case file presentable? </t>
        </r>
      </text>
    </comment>
    <comment ref="C30" authorId="1" shapeId="0">
      <text>
        <r>
          <rPr>
            <sz val="10"/>
            <color indexed="81"/>
            <rFont val="Tahoma"/>
            <family val="2"/>
          </rPr>
          <t>Punctuation should be checked by advisor before sending out to avoid common mistakes</t>
        </r>
      </text>
    </comment>
    <comment ref="C31" authorId="0" shapeId="0">
      <text>
        <r>
          <rPr>
            <b/>
            <sz val="9"/>
            <color indexed="81"/>
            <rFont val="Tahoma"/>
            <family val="2"/>
          </rPr>
          <t>Layout, Tables, Titles,</t>
        </r>
      </text>
    </comment>
    <comment ref="C36" authorId="0" shapeId="0">
      <text>
        <r>
          <rPr>
            <b/>
            <sz val="9"/>
            <color indexed="81"/>
            <rFont val="Tahoma"/>
            <family val="2"/>
          </rPr>
          <t>Using your voice to project professional confidence</t>
        </r>
      </text>
    </comment>
    <comment ref="C37" authorId="0" shapeId="0">
      <text>
        <r>
          <rPr>
            <b/>
            <sz val="9"/>
            <color indexed="81"/>
            <rFont val="Tahoma"/>
            <family val="2"/>
          </rPr>
          <t>Industry codes/words</t>
        </r>
      </text>
    </comment>
    <comment ref="C38" authorId="0" shapeId="0">
      <text>
        <r>
          <rPr>
            <b/>
            <sz val="9"/>
            <color indexed="81"/>
            <rFont val="Tahoma"/>
            <family val="2"/>
          </rPr>
          <t xml:space="preserve">- Tone of the voice 
- </t>
        </r>
      </text>
    </comment>
    <comment ref="C39" authorId="0" shapeId="0">
      <text>
        <r>
          <rPr>
            <b/>
            <sz val="9"/>
            <color indexed="81"/>
            <rFont val="Tahoma"/>
            <family val="2"/>
          </rPr>
          <t>- Open questions
- Probing questions
- Closed questions</t>
        </r>
      </text>
    </comment>
    <comment ref="C41" authorId="1" shapeId="0">
      <text>
        <r>
          <rPr>
            <sz val="10"/>
            <color indexed="81"/>
            <rFont val="Tahoma"/>
            <family val="2"/>
          </rPr>
          <t>The advisor should thank the customer for their call</t>
        </r>
      </text>
    </comment>
    <comment ref="C42" authorId="1" shapeId="0">
      <text>
        <r>
          <rPr>
            <sz val="10"/>
            <color indexed="81"/>
            <rFont val="Tahoma"/>
            <family val="2"/>
          </rPr>
          <t>This includes avoiding slang and language like "mate" etc</t>
        </r>
      </text>
    </comment>
    <comment ref="C46" authorId="1" shapeId="0">
      <text>
        <r>
          <rPr>
            <sz val="10"/>
            <color indexed="81"/>
            <rFont val="Tahoma"/>
            <family val="2"/>
          </rPr>
          <t>A generic opening greeting will need to be used to reply to a customers emai, the generic greeting may vary slightly if we have a backlog or are behind on response</t>
        </r>
      </text>
    </comment>
    <comment ref="C47" authorId="1" shapeId="0">
      <text>
        <r>
          <rPr>
            <sz val="10"/>
            <color indexed="81"/>
            <rFont val="Tahoma"/>
            <family val="2"/>
          </rPr>
          <t>A subject should always be populated on the email even if the origional message from the customer did not include a subject</t>
        </r>
      </text>
    </comment>
    <comment ref="C48" authorId="0" shapeId="0">
      <text>
        <r>
          <rPr>
            <sz val="11"/>
            <color indexed="81"/>
            <rFont val="Tahoma"/>
            <family val="2"/>
          </rPr>
          <t>E.g. Case file</t>
        </r>
      </text>
    </comment>
    <comment ref="C49" authorId="1" shapeId="0">
      <text>
        <r>
          <rPr>
            <sz val="10"/>
            <color indexed="81"/>
            <rFont val="Tahoma"/>
            <family val="2"/>
          </rPr>
          <t>The response should be clear and structured In a way that the customer can understand and follow, so the query then response, query then response</t>
        </r>
      </text>
    </comment>
    <comment ref="C50" authorId="1" shapeId="0">
      <text>
        <r>
          <rPr>
            <sz val="10"/>
            <color indexed="81"/>
            <rFont val="Tahoma"/>
            <family val="2"/>
          </rPr>
          <t>Regardless of the tone of the customer in the email we should always respond in a clear and professional manner</t>
        </r>
      </text>
    </comment>
    <comment ref="C51" authorId="1" shapeId="0">
      <text>
        <r>
          <rPr>
            <sz val="10"/>
            <color indexed="81"/>
            <rFont val="Tahoma"/>
            <family val="2"/>
          </rPr>
          <t>Spell check should be used to avoid spelling errors</t>
        </r>
      </text>
    </comment>
    <comment ref="C52" authorId="1" shapeId="0">
      <text>
        <r>
          <rPr>
            <sz val="10"/>
            <color indexed="81"/>
            <rFont val="Tahoma"/>
            <family val="2"/>
          </rPr>
          <t>Punctuation should be checked by advisor before sending out to avoid common mistakes</t>
        </r>
      </text>
    </comment>
    <comment ref="C53" authorId="1" shapeId="0">
      <text>
        <r>
          <rPr>
            <sz val="10"/>
            <color indexed="81"/>
            <rFont val="Tahoma"/>
            <family val="2"/>
          </rPr>
          <t>We need to ensure the agent has finished writing the email before pressing send, sending a partially completed response to the customer will only generate another email or call</t>
        </r>
      </text>
    </comment>
    <comment ref="C54" authorId="1" shapeId="0">
      <text>
        <r>
          <rPr>
            <sz val="10"/>
            <color indexed="81"/>
            <rFont val="Tahoma"/>
            <family val="2"/>
          </rPr>
          <t>CAPS LOCK ON RESPONSES MAKES IT SEEM LIKE WE'RE SHOUTING AT THE CUSTOMER</t>
        </r>
      </text>
    </comment>
    <comment ref="C55" authorId="1" shapeId="0">
      <text>
        <r>
          <rPr>
            <sz val="10"/>
            <color indexed="81"/>
            <rFont val="Tahoma"/>
            <family val="2"/>
          </rPr>
          <t>Using industry language in a response to the customer should be avoided as this will confuse the customer and generate further emails requesting explanations for terminology used. Also language used in A+ isnt generic to the industry so it will not help the customer in any way</t>
        </r>
      </text>
    </comment>
    <comment ref="C56" authorId="1" shapeId="0">
      <text>
        <r>
          <rPr>
            <sz val="10"/>
            <color indexed="81"/>
            <rFont val="Tahoma"/>
            <family val="2"/>
          </rPr>
          <t>A generic closure should be used on the emails along with a pre-defined signature</t>
        </r>
      </text>
    </comment>
    <comment ref="C57" authorId="0" shapeId="0">
      <text>
        <r>
          <rPr>
            <b/>
            <sz val="9"/>
            <color indexed="81"/>
            <rFont val="Tahoma"/>
            <family val="2"/>
          </rPr>
          <t>Spelling, Grammer, Font size, Font Style, Font Colour.</t>
        </r>
      </text>
    </comment>
  </commentList>
</comments>
</file>

<file path=xl/comments2.xml><?xml version="1.0" encoding="utf-8"?>
<comments xmlns="http://schemas.openxmlformats.org/spreadsheetml/2006/main">
  <authors>
    <author>Saima Begum</author>
    <author>Author</author>
  </authors>
  <commentList>
    <comment ref="D14" authorId="0" shapeId="0">
      <text>
        <r>
          <rPr>
            <sz val="11"/>
            <color indexed="81"/>
            <rFont val="Tahoma"/>
            <family val="2"/>
          </rPr>
          <t>24 hour call + 3 more calls = 4 Attemps</t>
        </r>
      </text>
    </comment>
    <comment ref="D17" authorId="0" shapeId="0">
      <text>
        <r>
          <rPr>
            <b/>
            <sz val="9"/>
            <color indexed="81"/>
            <rFont val="Tahoma"/>
            <family val="2"/>
          </rPr>
          <t>-Chasing up any awaiting internal information needed</t>
        </r>
      </text>
    </comment>
    <comment ref="D24" authorId="0" shapeId="0">
      <text>
        <r>
          <rPr>
            <b/>
            <sz val="9"/>
            <color indexed="81"/>
            <rFont val="Tahoma"/>
            <family val="2"/>
          </rPr>
          <t>Using your voice to project professional confidence</t>
        </r>
      </text>
    </comment>
    <comment ref="D25" authorId="0" shapeId="0">
      <text>
        <r>
          <rPr>
            <b/>
            <sz val="9"/>
            <color indexed="81"/>
            <rFont val="Tahoma"/>
            <family val="2"/>
          </rPr>
          <t>Industry codes/words</t>
        </r>
      </text>
    </comment>
    <comment ref="D26" authorId="0" shapeId="0">
      <text>
        <r>
          <rPr>
            <b/>
            <sz val="9"/>
            <color indexed="81"/>
            <rFont val="Tahoma"/>
            <family val="2"/>
          </rPr>
          <t xml:space="preserve">- Tone of the voice 
- </t>
        </r>
      </text>
    </comment>
    <comment ref="D27" authorId="0" shapeId="0">
      <text>
        <r>
          <rPr>
            <b/>
            <sz val="9"/>
            <color indexed="81"/>
            <rFont val="Tahoma"/>
            <family val="2"/>
          </rPr>
          <t>- Open questions
- Probing questions
- Closed questions</t>
        </r>
      </text>
    </comment>
    <comment ref="D30" authorId="0" shapeId="0">
      <text>
        <r>
          <rPr>
            <b/>
            <sz val="9"/>
            <color indexed="81"/>
            <rFont val="Tahoma"/>
            <family val="2"/>
          </rPr>
          <t>- Adapting to customers feelings/emotions</t>
        </r>
      </text>
    </comment>
    <comment ref="D31" authorId="0" shapeId="0">
      <text>
        <r>
          <rPr>
            <b/>
            <sz val="9"/>
            <color indexed="81"/>
            <rFont val="Tahoma"/>
            <family val="2"/>
          </rPr>
          <t xml:space="preserve">- Right DPA questions
 - Aware of the answers given by customer 
- Email containg correct customer details </t>
        </r>
      </text>
    </comment>
    <comment ref="D34" authorId="0" shapeId="0">
      <text>
        <r>
          <rPr>
            <b/>
            <sz val="9"/>
            <color indexed="81"/>
            <rFont val="Tahoma"/>
            <family val="2"/>
          </rPr>
          <t xml:space="preserve">- included relevant information 
- Asked the right questions
</t>
        </r>
      </text>
    </comment>
    <comment ref="D35" authorId="1" shapeId="0">
      <text>
        <r>
          <rPr>
            <sz val="10"/>
            <color indexed="81"/>
            <rFont val="Tahoma"/>
            <family val="2"/>
          </rPr>
          <t>A generic opening greeting will need to be used to reply to a customers emai, the generic greeting may vary slightly if we have a backlog or are behind on response</t>
        </r>
      </text>
    </comment>
    <comment ref="D36" authorId="1" shapeId="0">
      <text>
        <r>
          <rPr>
            <sz val="10"/>
            <color indexed="81"/>
            <rFont val="Tahoma"/>
            <family val="2"/>
          </rPr>
          <t>A subject should always be populated on the email even if the origional message from the customer did not include a subject</t>
        </r>
      </text>
    </comment>
    <comment ref="D37" authorId="1" shapeId="0">
      <text>
        <r>
          <rPr>
            <sz val="10"/>
            <color indexed="81"/>
            <rFont val="Tahoma"/>
            <family val="2"/>
          </rPr>
          <t>The response should be clear and structured In a way that the customer can understand and follow, so the query then response, query then response</t>
        </r>
      </text>
    </comment>
    <comment ref="D38" authorId="1" shapeId="0">
      <text>
        <r>
          <rPr>
            <sz val="10"/>
            <color indexed="81"/>
            <rFont val="Tahoma"/>
            <family val="2"/>
          </rPr>
          <t>Regardless of the tone of the customer in the email we should always respond in a clear and professional manner</t>
        </r>
      </text>
    </comment>
    <comment ref="D39" authorId="1" shapeId="0">
      <text>
        <r>
          <rPr>
            <sz val="10"/>
            <color indexed="81"/>
            <rFont val="Tahoma"/>
            <family val="2"/>
          </rPr>
          <t>Spell check should be used to avoid spelling errors</t>
        </r>
      </text>
    </comment>
    <comment ref="D40" authorId="1" shapeId="0">
      <text>
        <r>
          <rPr>
            <sz val="10"/>
            <color indexed="81"/>
            <rFont val="Tahoma"/>
            <family val="2"/>
          </rPr>
          <t>Punctuation should be checked by advisor before sending out to avoid common mistakes</t>
        </r>
      </text>
    </comment>
    <comment ref="D41" authorId="1" shapeId="0">
      <text>
        <r>
          <rPr>
            <sz val="10"/>
            <color indexed="81"/>
            <rFont val="Tahoma"/>
            <family val="2"/>
          </rPr>
          <t>We need to ensure the agent has finished writing the email before pressing send, sending a partially completed response to the customer will only generate another email or call</t>
        </r>
      </text>
    </comment>
    <comment ref="D42" authorId="1" shapeId="0">
      <text>
        <r>
          <rPr>
            <sz val="10"/>
            <color indexed="81"/>
            <rFont val="Tahoma"/>
            <family val="2"/>
          </rPr>
          <t>CAPS LOCK ON RESPONSES MAKES IT SEEM LIKE WE'RE SHOUTING AT THE CUSTOMER</t>
        </r>
      </text>
    </comment>
    <comment ref="D43" authorId="1" shapeId="0">
      <text>
        <r>
          <rPr>
            <sz val="10"/>
            <color indexed="81"/>
            <rFont val="Tahoma"/>
            <family val="2"/>
          </rPr>
          <t>Using industry language in a response to the customer should be avoided as this will confuse the customer and generate further emails requesting explanations for terminology used. Also language used in A+ isnt generic to the industry so it will not help the customer in any way</t>
        </r>
      </text>
    </comment>
    <comment ref="D44" authorId="1" shapeId="0">
      <text>
        <r>
          <rPr>
            <sz val="10"/>
            <color indexed="81"/>
            <rFont val="Tahoma"/>
            <family val="2"/>
          </rPr>
          <t>A generic closure should be used on the emails along with a pre-defined signature</t>
        </r>
      </text>
    </comment>
    <comment ref="D45" authorId="0" shapeId="0">
      <text>
        <r>
          <rPr>
            <b/>
            <sz val="9"/>
            <color indexed="81"/>
            <rFont val="Tahoma"/>
            <family val="2"/>
          </rPr>
          <t>Spelling, Grammer, Font size, Font Style, Font Colour.</t>
        </r>
      </text>
    </comment>
    <comment ref="D48" authorId="0" shapeId="0">
      <text>
        <r>
          <rPr>
            <b/>
            <sz val="9"/>
            <color indexed="81"/>
            <rFont val="Tahoma"/>
            <family val="2"/>
          </rPr>
          <t>- calls made to customer
- Actions taken 
- Agents signature included 
- note to include detailed information</t>
        </r>
      </text>
    </comment>
    <comment ref="D49" authorId="0" shapeId="0">
      <text>
        <r>
          <rPr>
            <b/>
            <sz val="9"/>
            <color indexed="81"/>
            <rFont val="Tahoma"/>
            <family val="2"/>
          </rPr>
          <t>New
Pend
Resolved</t>
        </r>
      </text>
    </comment>
    <comment ref="D51" authorId="0" shapeId="0">
      <text>
        <r>
          <rPr>
            <b/>
            <sz val="9"/>
            <color indexed="81"/>
            <rFont val="Tahoma"/>
            <family val="2"/>
          </rPr>
          <t>New
Pend
Resolved</t>
        </r>
      </text>
    </comment>
  </commentList>
</comments>
</file>

<file path=xl/sharedStrings.xml><?xml version="1.0" encoding="utf-8"?>
<sst xmlns="http://schemas.openxmlformats.org/spreadsheetml/2006/main" count="1172" uniqueCount="293">
  <si>
    <t>instant fails</t>
  </si>
  <si>
    <t>Name:</t>
  </si>
  <si>
    <t>Date:</t>
  </si>
  <si>
    <t>Yes</t>
  </si>
  <si>
    <t>No</t>
  </si>
  <si>
    <t>NA</t>
  </si>
  <si>
    <t>User</t>
  </si>
  <si>
    <t>Process</t>
  </si>
  <si>
    <t>System</t>
  </si>
  <si>
    <t>Total</t>
  </si>
  <si>
    <t>Did the agent use the appropriate generic greeting to the reply?</t>
  </si>
  <si>
    <t>Did the agent populate the subject field?</t>
  </si>
  <si>
    <t>Did the agent structure the response in a clear and concise manner?</t>
  </si>
  <si>
    <t>Did the agent use a professional tone in the email?</t>
  </si>
  <si>
    <t>Did the agent use spell check and avoid any spelling errors in the reply?</t>
  </si>
  <si>
    <t>Did the agent avoid any punctuation errors in the reply?</t>
  </si>
  <si>
    <t>Did the agent avoid using CAPS LOCK on reply?</t>
  </si>
  <si>
    <t>Comments</t>
  </si>
  <si>
    <t>Percentage Quality Score</t>
  </si>
  <si>
    <t>Executive Complaints</t>
  </si>
  <si>
    <t>Date</t>
  </si>
  <si>
    <t>Contract no</t>
  </si>
  <si>
    <t xml:space="preserve"> Quality    Yes</t>
  </si>
  <si>
    <t>Quality       No</t>
  </si>
  <si>
    <t>System Issue</t>
  </si>
  <si>
    <t>Process Issue</t>
  </si>
  <si>
    <t>User Issue</t>
  </si>
  <si>
    <t>Quality Score</t>
  </si>
  <si>
    <t>Quality Type</t>
  </si>
  <si>
    <t>Date Received</t>
  </si>
  <si>
    <t>User ID</t>
  </si>
  <si>
    <t>Account No.</t>
  </si>
  <si>
    <t>Week 1</t>
  </si>
  <si>
    <t>Week 2</t>
  </si>
  <si>
    <t>Week 3</t>
  </si>
  <si>
    <t>Week 4</t>
  </si>
  <si>
    <t>Completions</t>
  </si>
  <si>
    <t>Target</t>
  </si>
  <si>
    <t>Wk1</t>
  </si>
  <si>
    <t>wk2</t>
  </si>
  <si>
    <t>wk3</t>
  </si>
  <si>
    <t>wk4</t>
  </si>
  <si>
    <t>wk1</t>
  </si>
  <si>
    <t xml:space="preserve">Average team QC score </t>
  </si>
  <si>
    <t>Advisors achieving 95% or above</t>
  </si>
  <si>
    <t xml:space="preserve">Advisors achieving below 95% </t>
  </si>
  <si>
    <t>Weekly minimum QC achieved</t>
  </si>
  <si>
    <t>Rickie Joseph</t>
  </si>
  <si>
    <t xml:space="preserve">Failures </t>
  </si>
  <si>
    <t xml:space="preserve">Process </t>
  </si>
  <si>
    <t>Zingisa Mbusi</t>
  </si>
  <si>
    <t xml:space="preserve">Faisal Ali </t>
  </si>
  <si>
    <t>Shreya Patel</t>
  </si>
  <si>
    <t>Rashada Begum</t>
  </si>
  <si>
    <t>Team Manager: Gemma</t>
  </si>
  <si>
    <t>Aimee Lewis</t>
  </si>
  <si>
    <t>Shashi Ramsey</t>
  </si>
  <si>
    <t>2nd Line</t>
  </si>
  <si>
    <t>Did the agent display a professional manner &amp; language throughout the call?</t>
  </si>
  <si>
    <t xml:space="preserve">        Managing the complaint</t>
  </si>
  <si>
    <t>Did agent contact customer within 24 hours of complaint allocation</t>
  </si>
  <si>
    <t>If customer was unavailable, did agent make three more attempts to contact customer</t>
  </si>
  <si>
    <t xml:space="preserve">Did agent send out cd1b letter to customer after 3 contact attempts have been made? </t>
  </si>
  <si>
    <t>Did agent complete all follow ups?</t>
  </si>
  <si>
    <t>Did agent have all the information required to handle complaint?</t>
  </si>
  <si>
    <t>Was agent confident in dealing with the complaint?</t>
  </si>
  <si>
    <t>Did the agent send out the resolution letter?</t>
  </si>
  <si>
    <t>Did the agent make all attempts to resolve before reaching deadlock?</t>
  </si>
  <si>
    <t xml:space="preserve">        Soft Skills/Customer Contact</t>
  </si>
  <si>
    <t>Agent avoided long silences during the call?</t>
  </si>
  <si>
    <t>Agent sounded clear and confident throughout the call?</t>
  </si>
  <si>
    <t>Agent refrained from using jargon throughout the call?</t>
  </si>
  <si>
    <t>Agent sounded friendly, polite and welcoming?</t>
  </si>
  <si>
    <t>Agent used effective questioning skills?</t>
  </si>
  <si>
    <t>Agent demonstrated active listening?</t>
  </si>
  <si>
    <t>Agent acknowledged customers complaint and apologised?</t>
  </si>
  <si>
    <t>Agent adapted to the customer?</t>
  </si>
  <si>
    <t>Did agent complete DPA with customer?</t>
  </si>
  <si>
    <t>Email Structure</t>
  </si>
  <si>
    <t>Did the agent structure emails in a clear and concise manner?</t>
  </si>
  <si>
    <t>Did the agent compile a full reply before sending to customer?</t>
  </si>
  <si>
    <t>Did the agent avoid using industry jargon?</t>
  </si>
  <si>
    <t>Did the agent include a generic closure for email and signature?</t>
  </si>
  <si>
    <t>Did agent send emails in the correct format?</t>
  </si>
  <si>
    <t>System updates</t>
  </si>
  <si>
    <t>Did agent note all customer contact on accountplus?</t>
  </si>
  <si>
    <t>Did the agent change complaint status on accountplus accordingly?</t>
  </si>
  <si>
    <t>Did the agent scan and attach paper letters to accountplus?</t>
  </si>
  <si>
    <t>Did the agent attach all emails to accountplus?</t>
  </si>
  <si>
    <t>Executive</t>
  </si>
  <si>
    <t xml:space="preserve">Account Fix </t>
  </si>
  <si>
    <t>Account Number:</t>
  </si>
  <si>
    <t>Account Fix Basic Information</t>
  </si>
  <si>
    <t>Did agent include customer number</t>
  </si>
  <si>
    <t>Did agent include MPRN/MPAN</t>
  </si>
  <si>
    <t>Did agent make the correct request type</t>
  </si>
  <si>
    <t>Did agent add their name on the request form</t>
  </si>
  <si>
    <t>Did agent complete the description box with the relevant information needed for request to be completed</t>
  </si>
  <si>
    <t>Did agent save the request form in the relevant format (DD.MM.YY – Request Type – SLA – Customer Number – Your Name)</t>
  </si>
  <si>
    <t>Producing or Amending a bill/Manual bill</t>
  </si>
  <si>
    <t>Billing inbox - Query</t>
  </si>
  <si>
    <t>Did agent delete/cancel any existing bill which is for the same time period</t>
  </si>
  <si>
    <t>Did agent have the correct meter reads and dates</t>
  </si>
  <si>
    <t>Did agent check if all meter details on account plus are correct</t>
  </si>
  <si>
    <t>Did agent identify if the supplier is IGT</t>
  </si>
  <si>
    <t>For duel fuel requests, did agent include both contract numbers on request</t>
  </si>
  <si>
    <t>COT Account Fix Request</t>
  </si>
  <si>
    <t>Did agent complete COT spreadsheet before making request</t>
  </si>
  <si>
    <t>Did agent give brief outline as to why request is urgent (if ombudsman or complaint has not been selected)</t>
  </si>
  <si>
    <t>Did agent include Move out tenant Name</t>
  </si>
  <si>
    <t>Did agent include Customer Number</t>
  </si>
  <si>
    <t>Did agent include Date of Move Out</t>
  </si>
  <si>
    <t>Did agent include Move out read(s) for all fuels</t>
  </si>
  <si>
    <t>Did agent include Forward Address (if applicable)</t>
  </si>
  <si>
    <t>Did agent add any new contact details if they differ from those currently listed on the account</t>
  </si>
  <si>
    <t>Did agent include Move in tenant Name</t>
  </si>
  <si>
    <t>Did agent include Move in Date</t>
  </si>
  <si>
    <t>Did agent include Move in Reads for all fuels</t>
  </si>
  <si>
    <t>Did agent include Contact details for new tenant (email and phone)</t>
  </si>
  <si>
    <t>Did agent include Landlord details if applicable</t>
  </si>
  <si>
    <t>If multiple COTs are involved did agent provide the details in date order oldest to newest to make the request as clear as possible</t>
  </si>
  <si>
    <t>If the COT is a business, did agent ensure that proof of the COT has been received and logged on the account</t>
  </si>
  <si>
    <t>Did agent include the relevant Contract Number(s)</t>
  </si>
  <si>
    <t>Did agent include which Tariff is required</t>
  </si>
  <si>
    <t>Did agent give reason for the change</t>
  </si>
  <si>
    <t>Did agent include the Requested Unit Price(s)</t>
  </si>
  <si>
    <t>Did agent include the Requested S/Charge</t>
  </si>
  <si>
    <t>Did agent include the date that the tariff should be applied from</t>
  </si>
  <si>
    <t>Percent quality score</t>
  </si>
  <si>
    <t>Account Fix</t>
  </si>
  <si>
    <t>Tariff Change Request</t>
  </si>
  <si>
    <t>Ombudsman Scorecard</t>
  </si>
  <si>
    <t>Agent produced internal case file within the time frame</t>
  </si>
  <si>
    <t>If Ombudsman proposal was not accepted did agent send a new resolution with case file?</t>
  </si>
  <si>
    <t>Agent sent a closing letter CD5 out to the customer to close complaint</t>
  </si>
  <si>
    <t>Did agent note all contacts on accountplus?</t>
  </si>
  <si>
    <t>Case File</t>
  </si>
  <si>
    <t>Agent completed all fields required?</t>
  </si>
  <si>
    <t>Did the agent attach the correct and required information?</t>
  </si>
  <si>
    <t>Did the agent use spell check and avoid any spelling errors?</t>
  </si>
  <si>
    <t>Did the agent avoid grammatical mistakes?</t>
  </si>
  <si>
    <t>Agent included all notes from accountplus in the case file</t>
  </si>
  <si>
    <t>Agent avoided punctuation errors?</t>
  </si>
  <si>
    <t>Agent completed the correct pro-forma?</t>
  </si>
  <si>
    <t>Case file was signed and dated by all relevant parties?</t>
  </si>
  <si>
    <t>Soft skills - Calls</t>
  </si>
  <si>
    <t>Agent avoided long silences during the call</t>
  </si>
  <si>
    <t>Agent sounded clear and confident throughout the call</t>
  </si>
  <si>
    <t>Agent refrained from using jargon throughout the call</t>
  </si>
  <si>
    <t>Agent sounded friendly, polite and welcoming</t>
  </si>
  <si>
    <t>Agent used effective questioning skills</t>
  </si>
  <si>
    <t>Agent demonstrated active listening</t>
  </si>
  <si>
    <t>Did the agent attach the correct documents?</t>
  </si>
  <si>
    <t>Data Protection Act</t>
  </si>
  <si>
    <t>Did the agent close the call in an appropriate manner</t>
  </si>
  <si>
    <t xml:space="preserve">Percentage Quality Score </t>
  </si>
  <si>
    <t>Agent actioned agreed remedy within the time frame</t>
  </si>
  <si>
    <t>Ombudsman</t>
  </si>
  <si>
    <t>Agent completed DPA</t>
  </si>
  <si>
    <t>call was transferred to Aimee, this should have been logged as a complaint before but was not actioned. She stays positive and friendly throughout the call. As the customer mentioned that he advised an advisor and senior advisor he wishes to log a complaint this was not followed. Aimee has followed the correct procedure, logged a complaint and given timeframe of when the customer will be contacted by the complaints team. She also arranged to call the customer back within 30mins to provide actions taken.</t>
  </si>
  <si>
    <t>Parminder.Jaghra</t>
  </si>
  <si>
    <t>Taken information on board from last weeks QC and has now started to apply friendly handshake at the end of each email.</t>
  </si>
  <si>
    <t>missed 1 mandatory DPA question</t>
  </si>
  <si>
    <t>has listened to last feedback given and has applied friendly out at the end of the email.</t>
  </si>
  <si>
    <t>Laura Levermore</t>
  </si>
  <si>
    <t>Faisal Ali</t>
  </si>
  <si>
    <t>N/A</t>
  </si>
  <si>
    <t>Customer has no account with us. This was an ET for us taking on wrong property. DPA done via Ombudsman information provided. This case was only 1 day old when Ali called.</t>
  </si>
  <si>
    <t>Case file agreed and awaiting response from senior management to action GWG onto account</t>
  </si>
  <si>
    <t>NICE is not working. Alternative quality check done (case file)</t>
  </si>
  <si>
    <t>NICE is not working. Alternative quality check done (email)</t>
  </si>
  <si>
    <t>NICE not working. Alternative check done (case file)</t>
  </si>
  <si>
    <t>NICE currently not working. Alternative check done (email). Zingi mentions Germany in the email which I have advised not to use anymore.</t>
  </si>
  <si>
    <t>NICE not working, alternative quality check done (case file)</t>
  </si>
  <si>
    <t>NICE not working, alternative quality check done (email)</t>
  </si>
  <si>
    <t>/</t>
  </si>
  <si>
    <t>Department: Executive/Ombudsman Complaints</t>
  </si>
  <si>
    <t>Syed</t>
  </si>
  <si>
    <t>Test</t>
  </si>
  <si>
    <t>syed.ahmed</t>
  </si>
  <si>
    <t>Timescale not given when mentioned about a bill being generated.</t>
  </si>
  <si>
    <t>No personal greeting to the customer. Otherwise fine.</t>
  </si>
  <si>
    <t>The account number is not input any emails. 'Hi' is used in the emails, which is acceptable however the I can not see evidence that the customer and Aimee have built a rapport.</t>
  </si>
  <si>
    <t>Feedback to be given - she has responded to the customer in the correct manner however she has forwarded the front office request so that the customer can see our process and advisors notes.</t>
  </si>
  <si>
    <t>Shasi Ramsey</t>
  </si>
  <si>
    <t>On holiday</t>
  </si>
  <si>
    <t>Ongoing complaint passed from handler to handler. Did not state ExtraEnergy at start of call. DPA passed. Long hold periods</t>
  </si>
  <si>
    <t>email</t>
  </si>
  <si>
    <t>Faisel Ali</t>
  </si>
  <si>
    <t>On Holiday</t>
  </si>
  <si>
    <t>Zingi Mbusi</t>
  </si>
  <si>
    <t>cant retrieve calls for Zingi</t>
  </si>
  <si>
    <t>only flaw is that Zingi has sent the email to the customer after an internal chain email. Customer can view internal communications.</t>
  </si>
  <si>
    <t>Rasahda Begum</t>
  </si>
  <si>
    <t>Positive feedback - when customer is put on hold she apologises for the delay, which is good. Normal feedback is that all evidence should have been in front of her when calling the customer so she couldve answered all questions there and then.</t>
  </si>
  <si>
    <t>Coaching session needed</t>
  </si>
  <si>
    <t>Nice not installed on this PC</t>
  </si>
  <si>
    <t>NICE not installed on this PC</t>
  </si>
  <si>
    <t>No NICE and limited access to systems due to PC move</t>
  </si>
  <si>
    <t>no NICE access so unable to listen to calls.</t>
  </si>
  <si>
    <t>no NICE access</t>
  </si>
  <si>
    <t>No NICE access</t>
  </si>
  <si>
    <t>No access to the frontline inbox, no access to NICE</t>
  </si>
  <si>
    <t>No NICE access, system down</t>
  </si>
  <si>
    <t>NICE not working - assessed on Case File</t>
  </si>
  <si>
    <t>this is based on a customer return.</t>
  </si>
  <si>
    <t>No NICE</t>
  </si>
  <si>
    <t>No NICE Access</t>
  </si>
  <si>
    <t>No NICE access - score based off a customer return. Spelling mistakes found</t>
  </si>
  <si>
    <t>No NICE access - score based off a customer return. Spelling mistakes found and customers name incorrect</t>
  </si>
  <si>
    <t>No NICE, score based off an account fix</t>
  </si>
  <si>
    <t>No NICE, scored based off an account fix</t>
  </si>
  <si>
    <t>Scored based off an email sent to the customer - there was grammar mistakes which have been fedback.</t>
  </si>
  <si>
    <t>Agnes Mutunga</t>
  </si>
  <si>
    <t>scored off a case file</t>
  </si>
  <si>
    <t>John Penn</t>
  </si>
  <si>
    <t>email sent out to customer</t>
  </si>
  <si>
    <t>Apology Letter sent to customer</t>
  </si>
  <si>
    <t>Letter of Apology</t>
  </si>
  <si>
    <t>Case file</t>
  </si>
  <si>
    <t>Based off an apology letter sent to customer</t>
  </si>
  <si>
    <t>Email sent to customer for closure</t>
  </si>
  <si>
    <t>Based off an apology letter sent to the customer</t>
  </si>
  <si>
    <t>Based off an email sent to the customer</t>
  </si>
  <si>
    <t>Based off a case file</t>
  </si>
  <si>
    <t>Agnes Mutanga</t>
  </si>
  <si>
    <t>based off a case file</t>
  </si>
  <si>
    <t>Based off an apology letter</t>
  </si>
  <si>
    <t>Case File - Customer return</t>
  </si>
  <si>
    <t>Emails constructed in clear and concise way. Good grammar and punctuation.</t>
  </si>
  <si>
    <t>gemma.johnson2</t>
  </si>
  <si>
    <t>Apology Letter</t>
  </si>
  <si>
    <t>Letter of apology</t>
  </si>
  <si>
    <t xml:space="preserve">very well written email, Acc+ update. </t>
  </si>
  <si>
    <t>good CF</t>
  </si>
  <si>
    <t>well written Email, updated on acc +</t>
  </si>
  <si>
    <t xml:space="preserve">well written Email, updated on acc +. </t>
  </si>
  <si>
    <t>well written Email, updated on acc +. Jean Denzy</t>
  </si>
  <si>
    <t>well written Email, updated on acc +. Annemarie Gabriel</t>
  </si>
  <si>
    <t>well written Email, updated on acc +. Ben D'Monte</t>
  </si>
  <si>
    <t>good casefile</t>
  </si>
  <si>
    <t>Letter of Apology - feedback given as used feedback@extraenergy.com instead of ombudsman@extraenergy.com</t>
  </si>
  <si>
    <t>Email sent to customer</t>
  </si>
  <si>
    <t>Letter of apology - feedback to be given as email slightly needs more detail</t>
  </si>
  <si>
    <t>Case file - grammar mistakes found</t>
  </si>
  <si>
    <t>Managing the Ombudsman Complaint</t>
  </si>
  <si>
    <t>Did the agent use the correct format to send the case file?</t>
  </si>
  <si>
    <t>Email sent to customer, error towards the end of email ('u' and then 'us' right after each other - don’t think she realised)</t>
  </si>
  <si>
    <t>email sent to customer</t>
  </si>
  <si>
    <t>Email sent to customer including customer return</t>
  </si>
  <si>
    <t>Apology Letter + Customer return</t>
  </si>
  <si>
    <t>customer returns</t>
  </si>
  <si>
    <t>apology letter</t>
  </si>
  <si>
    <t>letter of apology</t>
  </si>
  <si>
    <t>email sent to customer, 1 spelling mistake and 1 grammar mistake</t>
  </si>
  <si>
    <t>Email sent to customer, gave incorrect information which was misleading</t>
  </si>
  <si>
    <t>email sent to customer.</t>
  </si>
  <si>
    <t>faisal ali</t>
  </si>
  <si>
    <t>Mrs Arnfield</t>
  </si>
  <si>
    <t>Jef pickering</t>
  </si>
  <si>
    <t>09 14 45</t>
  </si>
  <si>
    <t xml:space="preserve">Polly Randal, 
Copy remedy into letter, so that customer can see what we have done. </t>
  </si>
  <si>
    <t>21 23 68</t>
  </si>
  <si>
    <t xml:space="preserve">James Elgood
Copy remedy into letter, so that customer can see what we have done. </t>
  </si>
  <si>
    <t>24 79 90</t>
  </si>
  <si>
    <t xml:space="preserve">Samuel Gill
Copy remedy into letter, so that customer can see what we have done. </t>
  </si>
  <si>
    <t>01 69 79</t>
  </si>
  <si>
    <t xml:space="preserve">Jeffrey Bailey
Copy remedy into letter, so that customer can see what we have done. </t>
  </si>
  <si>
    <t xml:space="preserve">Mr Greibach, 
Copy remedy into letter, so that customer can see what we have done. </t>
  </si>
  <si>
    <t>Amanda Culling</t>
  </si>
  <si>
    <t>zingi Mbusi</t>
  </si>
  <si>
    <t>Mark Harrison</t>
  </si>
  <si>
    <t>Nield Sharon</t>
  </si>
  <si>
    <t>Shreya patel</t>
  </si>
  <si>
    <t>Apology letter sent to customer</t>
  </si>
  <si>
    <t>Email sent to the customer</t>
  </si>
  <si>
    <t>Apology letter send to customer</t>
  </si>
  <si>
    <t>Remedy email sent to customer</t>
  </si>
  <si>
    <t>Based off Customer Return</t>
  </si>
  <si>
    <t>Apology email</t>
  </si>
  <si>
    <t>Gurdeep Nagra</t>
  </si>
  <si>
    <t>Harry Rice Woodward</t>
  </si>
  <si>
    <t>Mike Townsend</t>
  </si>
  <si>
    <t>Apology letter</t>
  </si>
  <si>
    <t>Email sent to Ombudsman to dispute</t>
  </si>
  <si>
    <t>Pooja Ganger</t>
  </si>
  <si>
    <t>Emamil sent to customer</t>
  </si>
  <si>
    <t>Saida Loonat</t>
  </si>
  <si>
    <t>Team Performance November 2015</t>
  </si>
  <si>
    <t>02/11/2015 - 07/11/2015</t>
  </si>
  <si>
    <t>09/11/2015 - 14/11/2015</t>
  </si>
  <si>
    <t>16/11/2015 - 21/11/2015</t>
  </si>
  <si>
    <t>23/11/2015 - 28/11/2015</t>
  </si>
</sst>
</file>

<file path=xl/styles.xml><?xml version="1.0" encoding="utf-8"?>
<styleSheet xmlns="http://schemas.openxmlformats.org/spreadsheetml/2006/main" xmlns:mc="http://schemas.openxmlformats.org/markup-compatibility/2006" xmlns:x14ac="http://schemas.microsoft.com/office/spreadsheetml/2009/9/ac" mc:Ignorable="x14ac">
  <fonts count="48" x14ac:knownFonts="1">
    <font>
      <sz val="11"/>
      <color theme="1"/>
      <name val="Calibri"/>
      <family val="2"/>
      <scheme val="minor"/>
    </font>
    <font>
      <sz val="11"/>
      <color theme="1"/>
      <name val="Calibri"/>
      <family val="2"/>
      <scheme val="minor"/>
    </font>
    <font>
      <sz val="10"/>
      <color indexed="81"/>
      <name val="Tahoma"/>
      <family val="2"/>
    </font>
    <font>
      <sz val="11"/>
      <color indexed="81"/>
      <name val="Tahoma"/>
      <family val="2"/>
    </font>
    <font>
      <sz val="12"/>
      <color theme="1"/>
      <name val="Arial"/>
      <family val="2"/>
    </font>
    <font>
      <b/>
      <sz val="12"/>
      <color theme="1"/>
      <name val="Calibri"/>
      <family val="2"/>
      <scheme val="minor"/>
    </font>
    <font>
      <sz val="18"/>
      <color rgb="FF000000"/>
      <name val="Calibri"/>
      <family val="2"/>
    </font>
    <font>
      <b/>
      <sz val="15"/>
      <color theme="3"/>
      <name val="Calibri"/>
      <family val="2"/>
      <scheme val="minor"/>
    </font>
    <font>
      <sz val="12"/>
      <name val="Arial"/>
      <family val="2"/>
    </font>
    <font>
      <b/>
      <sz val="11"/>
      <name val="Arial"/>
      <family val="2"/>
    </font>
    <font>
      <b/>
      <sz val="9"/>
      <color indexed="81"/>
      <name val="Tahoma"/>
      <family val="2"/>
    </font>
    <font>
      <sz val="9"/>
      <color theme="1"/>
      <name val="Calibri"/>
      <family val="2"/>
      <scheme val="minor"/>
    </font>
    <font>
      <sz val="10"/>
      <color rgb="FFEA7600"/>
      <name val="PF DinDisplay Pro Light"/>
      <family val="3"/>
    </font>
    <font>
      <sz val="11"/>
      <color theme="1"/>
      <name val="PF DinDisplay Pro Light"/>
      <family val="3"/>
    </font>
    <font>
      <sz val="11"/>
      <color theme="0"/>
      <name val="PF DinDisplay Pro Light"/>
      <family val="3"/>
    </font>
    <font>
      <b/>
      <u/>
      <sz val="16"/>
      <color theme="1"/>
      <name val="PF DinDisplay Pro Light"/>
      <family val="3"/>
    </font>
    <font>
      <u/>
      <sz val="16"/>
      <color theme="1"/>
      <name val="PF DinDisplay Pro Light"/>
      <family val="3"/>
    </font>
    <font>
      <b/>
      <sz val="12"/>
      <color theme="1"/>
      <name val="PF DinDisplay Pro Light"/>
      <family val="3"/>
    </font>
    <font>
      <sz val="12"/>
      <color theme="1"/>
      <name val="PF DinDisplay Pro Light"/>
      <family val="3"/>
    </font>
    <font>
      <b/>
      <sz val="11"/>
      <color theme="1"/>
      <name val="PF DinDisplay Pro Light"/>
      <family val="3"/>
    </font>
    <font>
      <b/>
      <sz val="18"/>
      <color theme="1"/>
      <name val="PF DinDisplay Pro Light"/>
      <family val="3"/>
    </font>
    <font>
      <sz val="18"/>
      <color theme="1"/>
      <name val="PF DinDisplay Pro Light"/>
      <family val="3"/>
    </font>
    <font>
      <b/>
      <sz val="12"/>
      <name val="PF DinDisplay Pro Light"/>
      <family val="3"/>
    </font>
    <font>
      <sz val="12"/>
      <name val="PF DinDisplay Pro Light"/>
      <family val="3"/>
    </font>
    <font>
      <sz val="11"/>
      <name val="PF DinDisplay Pro Light"/>
      <family val="3"/>
    </font>
    <font>
      <b/>
      <sz val="11"/>
      <color theme="0"/>
      <name val="PF DinDisplay Pro Light"/>
      <family val="3"/>
    </font>
    <font>
      <b/>
      <u/>
      <sz val="18"/>
      <color theme="1"/>
      <name val="PF DinDisplay Pro Light"/>
      <family val="3"/>
    </font>
    <font>
      <b/>
      <sz val="11"/>
      <name val="PF DinDisplay Pro Light"/>
      <family val="3"/>
    </font>
    <font>
      <sz val="18"/>
      <name val="PF DinDisplay Pro Light"/>
      <family val="3"/>
    </font>
    <font>
      <b/>
      <sz val="12"/>
      <color theme="0"/>
      <name val="PF DinDisplay Pro Light"/>
      <family val="3"/>
    </font>
    <font>
      <b/>
      <sz val="14"/>
      <name val="PF DinDisplay Pro Light"/>
      <family val="3"/>
    </font>
    <font>
      <sz val="16"/>
      <name val="PF DinDisplay Pro Light"/>
      <family val="3"/>
    </font>
    <font>
      <b/>
      <sz val="18"/>
      <name val="PF DinDisplay Pro Light"/>
      <family val="3"/>
    </font>
    <font>
      <b/>
      <sz val="14"/>
      <color rgb="FFFF0000"/>
      <name val="PF DinDisplay Pro Light"/>
      <family val="3"/>
    </font>
    <font>
      <b/>
      <sz val="11"/>
      <color theme="3"/>
      <name val="PF DinDisplay Pro Light"/>
      <family val="3"/>
    </font>
    <font>
      <sz val="12"/>
      <color rgb="FF000000"/>
      <name val="PF DinDisplay Pro Light"/>
      <family val="3"/>
    </font>
    <font>
      <sz val="11"/>
      <color rgb="FFFF0000"/>
      <name val="PF DinDisplay Pro Light"/>
      <family val="3"/>
    </font>
    <font>
      <b/>
      <u/>
      <sz val="16"/>
      <color theme="0"/>
      <name val="PF DinDisplay Pro Light"/>
      <family val="3"/>
    </font>
    <font>
      <sz val="14"/>
      <color theme="1"/>
      <name val="PF DinDisplay Pro Light"/>
      <family val="3"/>
    </font>
    <font>
      <sz val="14"/>
      <name val="PF DinDisplay Pro Light"/>
      <family val="3"/>
    </font>
    <font>
      <b/>
      <u/>
      <sz val="14"/>
      <color theme="1"/>
      <name val="PF DinDisplay Pro Light"/>
      <family val="3"/>
    </font>
    <font>
      <b/>
      <u/>
      <sz val="14"/>
      <color theme="0"/>
      <name val="PF DinDisplay Pro Light"/>
      <family val="3"/>
    </font>
    <font>
      <b/>
      <sz val="14"/>
      <color theme="0"/>
      <name val="PF DinDisplay Pro Light"/>
      <family val="3"/>
    </font>
    <font>
      <sz val="12"/>
      <color theme="0"/>
      <name val="PF DinDisplay Pro Light"/>
      <family val="3"/>
    </font>
    <font>
      <b/>
      <sz val="10"/>
      <color theme="1"/>
      <name val="PF DinDisplay Pro Light"/>
      <family val="3"/>
    </font>
    <font>
      <b/>
      <sz val="10"/>
      <name val="PF DinDisplay Pro Light"/>
      <family val="3"/>
    </font>
    <font>
      <b/>
      <sz val="10"/>
      <color theme="0"/>
      <name val="PF DinDisplay Pro Light"/>
      <family val="3"/>
    </font>
    <font>
      <sz val="12"/>
      <color rgb="FFFF0000"/>
      <name val="PF DinDisplay Pro Light"/>
      <family val="3"/>
    </font>
  </fonts>
  <fills count="10">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rgb="FFFF9933"/>
        <bgColor indexed="64"/>
      </patternFill>
    </fill>
    <fill>
      <gradientFill type="path" left="0.5" right="0.5" top="0.5" bottom="0.5">
        <stop position="0">
          <color theme="0" tint="-0.34900967436750391"/>
        </stop>
        <stop position="1">
          <color theme="1" tint="0.34900967436750391"/>
        </stop>
      </gradientFill>
    </fill>
    <fill>
      <patternFill patternType="solid">
        <fgColor theme="0"/>
        <bgColor auto="1"/>
      </patternFill>
    </fill>
    <fill>
      <patternFill patternType="solid">
        <fgColor rgb="FFFF8837"/>
        <bgColor indexed="64"/>
      </patternFill>
    </fill>
    <fill>
      <patternFill patternType="solid">
        <fgColor rgb="FFFFC000"/>
        <bgColor indexed="64"/>
      </patternFill>
    </fill>
    <fill>
      <patternFill patternType="solid">
        <fgColor rgb="FF00B0F0"/>
        <bgColor indexed="64"/>
      </patternFill>
    </fill>
  </fills>
  <borders count="6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right/>
      <top/>
      <bottom style="thick">
        <color theme="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theme="1"/>
      </top>
      <bottom style="thin">
        <color theme="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s>
  <cellStyleXfs count="3">
    <xf numFmtId="0" fontId="0" fillId="0" borderId="0"/>
    <xf numFmtId="9" fontId="1" fillId="0" borderId="0" applyFont="0" applyFill="0" applyBorder="0" applyAlignment="0" applyProtection="0"/>
    <xf numFmtId="0" fontId="7" fillId="0" borderId="29" applyNumberFormat="0" applyFill="0" applyAlignment="0" applyProtection="0"/>
  </cellStyleXfs>
  <cellXfs count="489">
    <xf numFmtId="0" fontId="0" fillId="0" borderId="0" xfId="0"/>
    <xf numFmtId="0" fontId="5" fillId="4" borderId="22" xfId="0" applyFont="1" applyFill="1" applyBorder="1" applyAlignment="1">
      <alignment horizontal="left" vertical="center" wrapText="1"/>
    </xf>
    <xf numFmtId="0" fontId="5" fillId="4" borderId="23" xfId="0" applyFont="1" applyFill="1" applyBorder="1" applyAlignment="1">
      <alignment horizontal="left" vertical="center" wrapText="1"/>
    </xf>
    <xf numFmtId="9" fontId="5" fillId="4" borderId="23" xfId="0" applyNumberFormat="1" applyFont="1" applyFill="1" applyBorder="1" applyAlignment="1">
      <alignment horizontal="left" vertical="center" wrapText="1"/>
    </xf>
    <xf numFmtId="9" fontId="5" fillId="4" borderId="27" xfId="0" applyNumberFormat="1" applyFont="1" applyFill="1" applyBorder="1" applyAlignment="1">
      <alignment horizontal="left" vertical="center" wrapText="1"/>
    </xf>
    <xf numFmtId="0" fontId="4" fillId="0" borderId="10" xfId="0" applyFont="1" applyFill="1" applyBorder="1" applyAlignment="1">
      <alignment horizontal="left" vertical="center" wrapText="1"/>
    </xf>
    <xf numFmtId="0" fontId="4" fillId="2" borderId="10" xfId="0" applyFont="1" applyFill="1" applyBorder="1" applyAlignment="1" applyProtection="1">
      <protection locked="0"/>
    </xf>
    <xf numFmtId="14" fontId="4" fillId="2" borderId="10" xfId="0" applyNumberFormat="1" applyFont="1" applyFill="1" applyBorder="1" applyAlignment="1" applyProtection="1">
      <protection locked="0"/>
    </xf>
    <xf numFmtId="9" fontId="0" fillId="0" borderId="0" xfId="0" applyNumberFormat="1"/>
    <xf numFmtId="0" fontId="8" fillId="2" borderId="10" xfId="0" applyFont="1" applyFill="1" applyBorder="1" applyAlignment="1" applyProtection="1">
      <protection locked="0"/>
    </xf>
    <xf numFmtId="14" fontId="4" fillId="2" borderId="10" xfId="0" applyNumberFormat="1" applyFont="1" applyFill="1" applyBorder="1" applyAlignment="1" applyProtection="1">
      <alignment horizontal="left"/>
      <protection locked="0"/>
    </xf>
    <xf numFmtId="14" fontId="0" fillId="0" borderId="0" xfId="0" applyNumberFormat="1"/>
    <xf numFmtId="14" fontId="8" fillId="2" borderId="10" xfId="0" applyNumberFormat="1" applyFont="1" applyFill="1" applyBorder="1" applyAlignment="1" applyProtection="1">
      <alignment horizontal="left"/>
      <protection locked="0"/>
    </xf>
    <xf numFmtId="0" fontId="8" fillId="2" borderId="13" xfId="0" applyFont="1" applyFill="1" applyBorder="1" applyAlignment="1" applyProtection="1">
      <protection locked="0"/>
    </xf>
    <xf numFmtId="14" fontId="8" fillId="2" borderId="13" xfId="0" applyNumberFormat="1" applyFont="1" applyFill="1" applyBorder="1" applyAlignment="1" applyProtection="1">
      <alignment horizontal="left"/>
      <protection locked="0"/>
    </xf>
    <xf numFmtId="0" fontId="8" fillId="2" borderId="33" xfId="0" applyFont="1" applyFill="1" applyBorder="1" applyAlignment="1" applyProtection="1">
      <protection locked="0"/>
    </xf>
    <xf numFmtId="14" fontId="8" fillId="2" borderId="34" xfId="0" applyNumberFormat="1" applyFont="1" applyFill="1" applyBorder="1" applyAlignment="1" applyProtection="1">
      <alignment horizontal="left"/>
      <protection locked="0"/>
    </xf>
    <xf numFmtId="0" fontId="4" fillId="0" borderId="34" xfId="0" applyFont="1" applyFill="1" applyBorder="1" applyAlignment="1">
      <alignment horizontal="left" vertical="center" wrapText="1"/>
    </xf>
    <xf numFmtId="0" fontId="0" fillId="0" borderId="2" xfId="0" applyBorder="1"/>
    <xf numFmtId="9" fontId="0" fillId="0" borderId="2" xfId="0" applyNumberFormat="1" applyBorder="1"/>
    <xf numFmtId="14" fontId="0" fillId="0" borderId="2" xfId="0" applyNumberFormat="1" applyBorder="1"/>
    <xf numFmtId="0" fontId="8" fillId="2" borderId="14" xfId="0" applyFont="1" applyFill="1" applyBorder="1" applyAlignment="1" applyProtection="1">
      <protection locked="0"/>
    </xf>
    <xf numFmtId="0" fontId="0" fillId="0" borderId="0" xfId="0" applyBorder="1"/>
    <xf numFmtId="9" fontId="0" fillId="0" borderId="0" xfId="0" applyNumberFormat="1" applyBorder="1"/>
    <xf numFmtId="14" fontId="0" fillId="0" borderId="0" xfId="0" applyNumberFormat="1" applyBorder="1"/>
    <xf numFmtId="0" fontId="4" fillId="2" borderId="14" xfId="0" applyFont="1" applyFill="1" applyBorder="1" applyAlignment="1" applyProtection="1">
      <protection locked="0"/>
    </xf>
    <xf numFmtId="0" fontId="4" fillId="2" borderId="42" xfId="0" applyFont="1" applyFill="1" applyBorder="1" applyAlignment="1" applyProtection="1">
      <protection locked="0"/>
    </xf>
    <xf numFmtId="14" fontId="4" fillId="2" borderId="43" xfId="0" applyNumberFormat="1" applyFont="1" applyFill="1" applyBorder="1" applyAlignment="1" applyProtection="1">
      <alignment horizontal="left"/>
      <protection locked="0"/>
    </xf>
    <xf numFmtId="0" fontId="0" fillId="0" borderId="18" xfId="0" applyBorder="1"/>
    <xf numFmtId="9" fontId="0" fillId="0" borderId="18" xfId="0" applyNumberFormat="1" applyBorder="1"/>
    <xf numFmtId="14" fontId="0" fillId="0" borderId="18" xfId="0" applyNumberFormat="1" applyBorder="1"/>
    <xf numFmtId="0" fontId="4" fillId="0" borderId="13" xfId="0" applyFont="1" applyFill="1" applyBorder="1" applyAlignment="1">
      <alignment horizontal="left" vertical="center" wrapText="1"/>
    </xf>
    <xf numFmtId="0" fontId="8" fillId="2" borderId="42" xfId="0" applyFont="1" applyFill="1" applyBorder="1" applyAlignment="1" applyProtection="1">
      <protection locked="0"/>
    </xf>
    <xf numFmtId="14" fontId="8" fillId="2" borderId="43" xfId="0" applyNumberFormat="1" applyFont="1" applyFill="1" applyBorder="1" applyAlignment="1" applyProtection="1">
      <alignment horizontal="left"/>
      <protection locked="0"/>
    </xf>
    <xf numFmtId="0" fontId="4" fillId="0" borderId="43" xfId="0" applyFont="1" applyFill="1" applyBorder="1" applyAlignment="1">
      <alignment horizontal="left" vertical="center" wrapText="1"/>
    </xf>
    <xf numFmtId="0" fontId="11" fillId="9" borderId="10" xfId="0" applyFont="1" applyFill="1" applyBorder="1" applyAlignment="1">
      <alignment horizontal="left" vertical="center" wrapText="1"/>
    </xf>
    <xf numFmtId="0" fontId="8" fillId="2" borderId="21" xfId="0" applyFont="1" applyFill="1" applyBorder="1" applyAlignment="1" applyProtection="1">
      <protection locked="0"/>
    </xf>
    <xf numFmtId="14" fontId="8" fillId="2" borderId="21" xfId="0" applyNumberFormat="1" applyFont="1" applyFill="1" applyBorder="1" applyAlignment="1" applyProtection="1">
      <alignment horizontal="left"/>
      <protection locked="0"/>
    </xf>
    <xf numFmtId="0" fontId="4" fillId="0" borderId="21" xfId="0" applyFont="1" applyFill="1" applyBorder="1" applyAlignment="1">
      <alignment horizontal="left" vertical="center" wrapText="1"/>
    </xf>
    <xf numFmtId="0" fontId="4" fillId="2" borderId="43" xfId="0" applyFont="1" applyFill="1" applyBorder="1" applyAlignment="1" applyProtection="1">
      <protection locked="0"/>
    </xf>
    <xf numFmtId="0" fontId="8" fillId="2" borderId="43" xfId="0" applyFont="1" applyFill="1" applyBorder="1" applyAlignment="1" applyProtection="1">
      <protection locked="0"/>
    </xf>
    <xf numFmtId="0" fontId="12" fillId="0" borderId="0" xfId="0" applyFont="1"/>
    <xf numFmtId="0" fontId="8" fillId="0" borderId="10" xfId="0" applyFont="1" applyBorder="1" applyAlignment="1">
      <alignment horizontal="left"/>
    </xf>
    <xf numFmtId="0" fontId="8" fillId="0" borderId="21" xfId="0" applyFont="1" applyBorder="1" applyAlignment="1">
      <alignment horizontal="left"/>
    </xf>
    <xf numFmtId="0" fontId="8" fillId="0" borderId="43" xfId="0" applyFont="1" applyBorder="1" applyAlignment="1">
      <alignment horizontal="left"/>
    </xf>
    <xf numFmtId="0" fontId="4" fillId="2" borderId="21" xfId="0" applyFont="1" applyFill="1" applyBorder="1" applyAlignment="1" applyProtection="1">
      <protection locked="0"/>
    </xf>
    <xf numFmtId="14" fontId="4" fillId="2" borderId="21" xfId="0" applyNumberFormat="1" applyFont="1" applyFill="1" applyBorder="1" applyAlignment="1" applyProtection="1">
      <alignment horizontal="left"/>
      <protection locked="0"/>
    </xf>
    <xf numFmtId="0" fontId="8" fillId="2" borderId="6" xfId="0" applyFont="1" applyFill="1" applyBorder="1" applyAlignment="1" applyProtection="1">
      <alignment vertical="top" wrapText="1"/>
      <protection locked="0"/>
    </xf>
    <xf numFmtId="0" fontId="8" fillId="2" borderId="16" xfId="0" applyFont="1" applyFill="1" applyBorder="1" applyAlignment="1" applyProtection="1">
      <alignment vertical="top" wrapText="1"/>
      <protection locked="0"/>
    </xf>
    <xf numFmtId="0" fontId="8" fillId="2" borderId="7" xfId="0" applyFont="1" applyFill="1" applyBorder="1" applyAlignment="1" applyProtection="1">
      <alignment vertical="top" wrapText="1"/>
      <protection locked="0"/>
    </xf>
    <xf numFmtId="0" fontId="8" fillId="2" borderId="6" xfId="0" applyFont="1" applyFill="1" applyBorder="1" applyAlignment="1" applyProtection="1">
      <alignment horizontal="left" vertical="top"/>
      <protection locked="0"/>
    </xf>
    <xf numFmtId="0" fontId="8" fillId="2" borderId="16" xfId="0" applyFont="1" applyFill="1" applyBorder="1" applyAlignment="1" applyProtection="1">
      <alignment horizontal="left" vertical="top"/>
      <protection locked="0"/>
    </xf>
    <xf numFmtId="0" fontId="8" fillId="2" borderId="7" xfId="0" applyFont="1" applyFill="1" applyBorder="1" applyAlignment="1" applyProtection="1">
      <alignment horizontal="left" vertical="top"/>
      <protection locked="0"/>
    </xf>
    <xf numFmtId="0" fontId="9" fillId="2" borderId="16" xfId="0" applyFont="1" applyFill="1" applyBorder="1" applyAlignment="1" applyProtection="1">
      <alignment horizontal="left" vertical="top"/>
      <protection locked="0"/>
    </xf>
    <xf numFmtId="0" fontId="9" fillId="2" borderId="7" xfId="0" applyFont="1" applyFill="1" applyBorder="1" applyAlignment="1" applyProtection="1">
      <alignment horizontal="left" vertical="top"/>
      <protection locked="0"/>
    </xf>
    <xf numFmtId="0" fontId="8" fillId="2" borderId="44" xfId="0" applyFont="1" applyFill="1" applyBorder="1" applyAlignment="1" applyProtection="1">
      <alignment horizontal="left" vertical="top"/>
      <protection locked="0"/>
    </xf>
    <xf numFmtId="0" fontId="8" fillId="2" borderId="49" xfId="0" applyFont="1" applyFill="1" applyBorder="1" applyAlignment="1" applyProtection="1">
      <alignment horizontal="left" vertical="top"/>
      <protection locked="0"/>
    </xf>
    <xf numFmtId="0" fontId="8" fillId="2" borderId="50" xfId="0" applyFont="1" applyFill="1" applyBorder="1" applyAlignment="1" applyProtection="1">
      <alignment horizontal="left" vertical="top"/>
      <protection locked="0"/>
    </xf>
    <xf numFmtId="0" fontId="8" fillId="2" borderId="6" xfId="0" applyFont="1" applyFill="1" applyBorder="1" applyAlignment="1" applyProtection="1">
      <alignment horizontal="left" vertical="top" wrapText="1"/>
      <protection locked="0"/>
    </xf>
    <xf numFmtId="0" fontId="8" fillId="2" borderId="16" xfId="0" applyFont="1" applyFill="1" applyBorder="1" applyAlignment="1" applyProtection="1">
      <alignment horizontal="left" vertical="top" wrapText="1"/>
      <protection locked="0"/>
    </xf>
    <xf numFmtId="0" fontId="8" fillId="2" borderId="7" xfId="0" applyFont="1" applyFill="1" applyBorder="1" applyAlignment="1" applyProtection="1">
      <alignment horizontal="left" vertical="top" wrapText="1"/>
      <protection locked="0"/>
    </xf>
    <xf numFmtId="0" fontId="8" fillId="2" borderId="35" xfId="0" applyFont="1" applyFill="1" applyBorder="1" applyAlignment="1" applyProtection="1">
      <alignment horizontal="left" vertical="top" wrapText="1"/>
      <protection locked="0"/>
    </xf>
    <xf numFmtId="0" fontId="8" fillId="2" borderId="46" xfId="0" applyFont="1" applyFill="1" applyBorder="1" applyAlignment="1" applyProtection="1">
      <alignment horizontal="left" vertical="top" wrapText="1"/>
      <protection locked="0"/>
    </xf>
    <xf numFmtId="0" fontId="8" fillId="2" borderId="47" xfId="0" applyFont="1" applyFill="1" applyBorder="1" applyAlignment="1" applyProtection="1">
      <alignment horizontal="left" vertical="top" wrapText="1"/>
      <protection locked="0"/>
    </xf>
    <xf numFmtId="0" fontId="8" fillId="2" borderId="8" xfId="0" applyFont="1" applyFill="1" applyBorder="1" applyAlignment="1" applyProtection="1">
      <alignment horizontal="left" vertical="top" wrapText="1"/>
      <protection locked="0"/>
    </xf>
    <xf numFmtId="0" fontId="8" fillId="2" borderId="57" xfId="0" applyFont="1" applyFill="1" applyBorder="1" applyAlignment="1" applyProtection="1">
      <alignment horizontal="left" vertical="top" wrapText="1"/>
      <protection locked="0"/>
    </xf>
    <xf numFmtId="0" fontId="8" fillId="2" borderId="9" xfId="0" applyFont="1" applyFill="1" applyBorder="1" applyAlignment="1" applyProtection="1">
      <alignment horizontal="left" vertical="top" wrapText="1"/>
      <protection locked="0"/>
    </xf>
    <xf numFmtId="0" fontId="5" fillId="4" borderId="24" xfId="0" applyFont="1" applyFill="1" applyBorder="1" applyAlignment="1">
      <alignment horizontal="left" vertical="center" wrapText="1"/>
    </xf>
    <xf numFmtId="0" fontId="5" fillId="4" borderId="25" xfId="0" applyFont="1" applyFill="1" applyBorder="1" applyAlignment="1">
      <alignment horizontal="left" vertical="center" wrapText="1"/>
    </xf>
    <xf numFmtId="0" fontId="5" fillId="4" borderId="26" xfId="0" applyFont="1" applyFill="1" applyBorder="1" applyAlignment="1">
      <alignment horizontal="left" vertical="center" wrapText="1"/>
    </xf>
    <xf numFmtId="0" fontId="0" fillId="0" borderId="6" xfId="0" applyBorder="1" applyAlignment="1">
      <alignment horizontal="center"/>
    </xf>
    <xf numFmtId="0" fontId="0" fillId="0" borderId="16" xfId="0" applyBorder="1" applyAlignment="1">
      <alignment horizontal="center"/>
    </xf>
    <xf numFmtId="0" fontId="0" fillId="0" borderId="7" xfId="0" applyBorder="1" applyAlignment="1">
      <alignment horizontal="center"/>
    </xf>
    <xf numFmtId="0" fontId="9" fillId="2" borderId="6" xfId="0" applyFont="1" applyFill="1" applyBorder="1" applyAlignment="1" applyProtection="1">
      <alignment horizontal="left" vertical="top"/>
      <protection locked="0"/>
    </xf>
    <xf numFmtId="0" fontId="8" fillId="2" borderId="44" xfId="0" applyFont="1" applyFill="1" applyBorder="1" applyAlignment="1" applyProtection="1">
      <alignment horizontal="left" vertical="top" wrapText="1"/>
      <protection locked="0"/>
    </xf>
    <xf numFmtId="0" fontId="8" fillId="2" borderId="49" xfId="0" applyFont="1" applyFill="1" applyBorder="1" applyAlignment="1" applyProtection="1">
      <alignment horizontal="left" vertical="top" wrapText="1"/>
      <protection locked="0"/>
    </xf>
    <xf numFmtId="0" fontId="8" fillId="2" borderId="50" xfId="0" applyFont="1" applyFill="1" applyBorder="1" applyAlignment="1" applyProtection="1">
      <alignment horizontal="left" vertical="top" wrapText="1"/>
      <protection locked="0"/>
    </xf>
    <xf numFmtId="0" fontId="8" fillId="2" borderId="15" xfId="0" applyFont="1" applyFill="1" applyBorder="1" applyAlignment="1" applyProtection="1">
      <alignment vertical="top" wrapText="1"/>
      <protection locked="0"/>
    </xf>
    <xf numFmtId="0" fontId="8" fillId="2" borderId="37" xfId="0" applyFont="1" applyFill="1" applyBorder="1" applyAlignment="1" applyProtection="1">
      <alignment vertical="top" wrapText="1"/>
      <protection locked="0"/>
    </xf>
    <xf numFmtId="0" fontId="8" fillId="2" borderId="58" xfId="0" applyFont="1" applyFill="1" applyBorder="1" applyAlignment="1" applyProtection="1">
      <alignment vertical="top" wrapText="1"/>
      <protection locked="0"/>
    </xf>
    <xf numFmtId="0" fontId="8" fillId="2" borderId="44" xfId="0" applyFont="1" applyFill="1" applyBorder="1" applyAlignment="1" applyProtection="1">
      <alignment vertical="top" wrapText="1"/>
      <protection locked="0"/>
    </xf>
    <xf numFmtId="0" fontId="8" fillId="2" borderId="49" xfId="0" applyFont="1" applyFill="1" applyBorder="1" applyAlignment="1" applyProtection="1">
      <alignment vertical="top" wrapText="1"/>
      <protection locked="0"/>
    </xf>
    <xf numFmtId="0" fontId="8" fillId="2" borderId="50" xfId="0" applyFont="1" applyFill="1" applyBorder="1" applyAlignment="1" applyProtection="1">
      <alignment vertical="top" wrapText="1"/>
      <protection locked="0"/>
    </xf>
    <xf numFmtId="0" fontId="8" fillId="2" borderId="15" xfId="0" applyFont="1" applyFill="1" applyBorder="1" applyAlignment="1" applyProtection="1">
      <alignment horizontal="left" vertical="top"/>
      <protection locked="0"/>
    </xf>
    <xf numFmtId="0" fontId="8" fillId="2" borderId="37" xfId="0" applyFont="1" applyFill="1" applyBorder="1" applyAlignment="1" applyProtection="1">
      <alignment horizontal="left" vertical="top"/>
      <protection locked="0"/>
    </xf>
    <xf numFmtId="0" fontId="8" fillId="2" borderId="58" xfId="0" applyFont="1" applyFill="1" applyBorder="1" applyAlignment="1" applyProtection="1">
      <alignment horizontal="left" vertical="top"/>
      <protection locked="0"/>
    </xf>
    <xf numFmtId="0" fontId="13" fillId="2" borderId="0" xfId="0" applyFont="1" applyFill="1"/>
    <xf numFmtId="0" fontId="13" fillId="0" borderId="0" xfId="0" applyFont="1"/>
    <xf numFmtId="0" fontId="13" fillId="0" borderId="0" xfId="0" applyFont="1" applyFill="1"/>
    <xf numFmtId="0" fontId="14" fillId="2" borderId="0" xfId="0" applyFont="1" applyFill="1"/>
    <xf numFmtId="0" fontId="13" fillId="2" borderId="1" xfId="0" applyFont="1" applyFill="1" applyBorder="1"/>
    <xf numFmtId="0" fontId="13" fillId="2" borderId="2" xfId="0" applyFont="1" applyFill="1" applyBorder="1"/>
    <xf numFmtId="0" fontId="13" fillId="2" borderId="3" xfId="0" applyFont="1" applyFill="1" applyBorder="1"/>
    <xf numFmtId="0" fontId="13" fillId="2" borderId="4" xfId="0" applyFont="1" applyFill="1" applyBorder="1"/>
    <xf numFmtId="0" fontId="13" fillId="2" borderId="0" xfId="0" applyFont="1" applyFill="1" applyBorder="1"/>
    <xf numFmtId="0" fontId="15" fillId="2" borderId="0" xfId="0" applyFont="1" applyFill="1" applyBorder="1" applyAlignment="1">
      <alignment horizontal="center"/>
    </xf>
    <xf numFmtId="0" fontId="16" fillId="2" borderId="0" xfId="0" applyFont="1" applyFill="1" applyBorder="1" applyAlignment="1">
      <alignment horizontal="center"/>
    </xf>
    <xf numFmtId="0" fontId="13" fillId="2" borderId="5" xfId="0" applyFont="1" applyFill="1" applyBorder="1"/>
    <xf numFmtId="0" fontId="13" fillId="3" borderId="0" xfId="0" applyFont="1" applyFill="1"/>
    <xf numFmtId="0" fontId="13" fillId="2" borderId="4" xfId="0" applyFont="1" applyFill="1" applyBorder="1" applyProtection="1">
      <protection locked="0"/>
    </xf>
    <xf numFmtId="0" fontId="17" fillId="2" borderId="0" xfId="0" applyFont="1" applyFill="1" applyBorder="1" applyProtection="1">
      <protection locked="0"/>
    </xf>
    <xf numFmtId="0" fontId="18" fillId="2" borderId="0" xfId="0" applyFont="1" applyFill="1" applyBorder="1" applyProtection="1">
      <protection locked="0"/>
    </xf>
    <xf numFmtId="0" fontId="19" fillId="2" borderId="0" xfId="0" applyFont="1" applyFill="1" applyBorder="1" applyAlignment="1" applyProtection="1">
      <alignment horizontal="center"/>
      <protection locked="0"/>
    </xf>
    <xf numFmtId="0" fontId="13" fillId="2" borderId="0" xfId="0" applyFont="1" applyFill="1" applyBorder="1" applyProtection="1">
      <protection locked="0"/>
    </xf>
    <xf numFmtId="0" fontId="17" fillId="2" borderId="4" xfId="0" applyFont="1" applyFill="1" applyBorder="1" applyAlignment="1" applyProtection="1">
      <alignment horizontal="right"/>
      <protection locked="0"/>
    </xf>
    <xf numFmtId="0" fontId="17" fillId="2" borderId="0" xfId="0" applyFont="1" applyFill="1" applyBorder="1" applyAlignment="1" applyProtection="1">
      <alignment horizontal="right"/>
      <protection locked="0"/>
    </xf>
    <xf numFmtId="0" fontId="18" fillId="2" borderId="10" xfId="0" applyFont="1" applyFill="1" applyBorder="1" applyAlignment="1" applyProtection="1">
      <protection locked="0"/>
    </xf>
    <xf numFmtId="0" fontId="18" fillId="2" borderId="4" xfId="0" applyFont="1" applyFill="1" applyBorder="1" applyAlignment="1" applyProtection="1">
      <alignment horizontal="right"/>
      <protection locked="0"/>
    </xf>
    <xf numFmtId="0" fontId="18" fillId="2" borderId="0" xfId="0" applyFont="1" applyFill="1" applyBorder="1" applyAlignment="1" applyProtection="1">
      <alignment horizontal="right"/>
      <protection locked="0"/>
    </xf>
    <xf numFmtId="14" fontId="18" fillId="2" borderId="10" xfId="0" applyNumberFormat="1" applyFont="1" applyFill="1" applyBorder="1" applyAlignment="1" applyProtection="1">
      <alignment horizontal="left"/>
      <protection locked="0"/>
    </xf>
    <xf numFmtId="0" fontId="17" fillId="2" borderId="4" xfId="0" applyFont="1" applyFill="1" applyBorder="1" applyAlignment="1" applyProtection="1">
      <alignment horizontal="right" wrapText="1"/>
      <protection locked="0"/>
    </xf>
    <xf numFmtId="0" fontId="17" fillId="2" borderId="28" xfId="0" applyFont="1" applyFill="1" applyBorder="1" applyAlignment="1" applyProtection="1">
      <alignment horizontal="right" wrapText="1"/>
      <protection locked="0"/>
    </xf>
    <xf numFmtId="0" fontId="18" fillId="0" borderId="10" xfId="0" applyFont="1" applyFill="1" applyBorder="1" applyAlignment="1">
      <alignment horizontal="left" vertical="center" wrapText="1"/>
    </xf>
    <xf numFmtId="0" fontId="20" fillId="2" borderId="0" xfId="0" applyFont="1" applyFill="1" applyBorder="1" applyAlignment="1" applyProtection="1">
      <protection locked="0"/>
    </xf>
    <xf numFmtId="0" fontId="21" fillId="2" borderId="0" xfId="0" applyFont="1" applyFill="1" applyBorder="1" applyAlignment="1" applyProtection="1">
      <protection locked="0"/>
    </xf>
    <xf numFmtId="0" fontId="22" fillId="8" borderId="16" xfId="0" applyFont="1" applyFill="1" applyBorder="1" applyAlignment="1" applyProtection="1">
      <protection locked="0"/>
    </xf>
    <xf numFmtId="0" fontId="22" fillId="8" borderId="9" xfId="0" applyFont="1" applyFill="1" applyBorder="1" applyAlignment="1" applyProtection="1">
      <protection locked="0"/>
    </xf>
    <xf numFmtId="0" fontId="22" fillId="0" borderId="7" xfId="0" applyFont="1" applyFill="1" applyBorder="1" applyAlignment="1" applyProtection="1">
      <alignment horizontal="center" vertical="center"/>
      <protection locked="0"/>
    </xf>
    <xf numFmtId="0" fontId="22" fillId="0" borderId="10" xfId="0" applyFont="1" applyFill="1" applyBorder="1" applyAlignment="1" applyProtection="1">
      <alignment horizontal="center" vertical="center"/>
      <protection locked="0"/>
    </xf>
    <xf numFmtId="0" fontId="22" fillId="0" borderId="11" xfId="0" applyFont="1" applyBorder="1" applyAlignment="1" applyProtection="1">
      <alignment horizontal="center" vertical="center"/>
      <protection locked="0"/>
    </xf>
    <xf numFmtId="0" fontId="22" fillId="0" borderId="10" xfId="0" applyFont="1" applyBorder="1" applyAlignment="1" applyProtection="1">
      <alignment horizontal="center" vertical="center"/>
      <protection locked="0"/>
    </xf>
    <xf numFmtId="0" fontId="22" fillId="2" borderId="12" xfId="0" applyFont="1" applyFill="1" applyBorder="1" applyAlignment="1" applyProtection="1">
      <alignment horizontal="center"/>
      <protection locked="0"/>
    </xf>
    <xf numFmtId="0" fontId="23" fillId="0" borderId="13" xfId="0" applyFont="1" applyFill="1" applyBorder="1" applyProtection="1">
      <protection locked="0"/>
    </xf>
    <xf numFmtId="0" fontId="24" fillId="0" borderId="7" xfId="0" applyFont="1" applyBorder="1" applyAlignment="1" applyProtection="1">
      <alignment horizontal="center"/>
      <protection locked="0"/>
    </xf>
    <xf numFmtId="0" fontId="24" fillId="0" borderId="10" xfId="0" applyFont="1" applyBorder="1" applyAlignment="1" applyProtection="1">
      <alignment horizontal="center"/>
      <protection locked="0"/>
    </xf>
    <xf numFmtId="0" fontId="24" fillId="0" borderId="11" xfId="0" applyFont="1" applyBorder="1" applyAlignment="1" applyProtection="1">
      <alignment horizontal="center"/>
      <protection locked="0"/>
    </xf>
    <xf numFmtId="0" fontId="24" fillId="0" borderId="10" xfId="0" applyFont="1" applyBorder="1" applyProtection="1">
      <protection locked="0"/>
    </xf>
    <xf numFmtId="0" fontId="24" fillId="0" borderId="6" xfId="0" applyFont="1" applyBorder="1" applyProtection="1">
      <protection locked="0"/>
    </xf>
    <xf numFmtId="0" fontId="23" fillId="0" borderId="54" xfId="0" applyFont="1" applyFill="1" applyBorder="1" applyProtection="1">
      <protection locked="0"/>
    </xf>
    <xf numFmtId="0" fontId="23" fillId="0" borderId="54" xfId="0" applyFont="1" applyFill="1" applyBorder="1" applyProtection="1"/>
    <xf numFmtId="0" fontId="22" fillId="2" borderId="15" xfId="0" applyFont="1" applyFill="1" applyBorder="1" applyAlignment="1" applyProtection="1">
      <alignment horizontal="center"/>
      <protection locked="0"/>
    </xf>
    <xf numFmtId="0" fontId="23" fillId="0" borderId="21" xfId="0" applyFont="1" applyFill="1" applyBorder="1" applyProtection="1">
      <protection locked="0"/>
    </xf>
    <xf numFmtId="0" fontId="18" fillId="0" borderId="0" xfId="0" applyFont="1" applyBorder="1"/>
    <xf numFmtId="0" fontId="18" fillId="2" borderId="0" xfId="0" applyFont="1" applyFill="1" applyBorder="1"/>
    <xf numFmtId="0" fontId="22" fillId="8" borderId="6" xfId="0" applyFont="1" applyFill="1" applyBorder="1" applyAlignment="1" applyProtection="1">
      <protection locked="0"/>
    </xf>
    <xf numFmtId="0" fontId="22" fillId="2" borderId="15" xfId="0" applyFont="1" applyFill="1" applyBorder="1" applyAlignment="1" applyProtection="1">
      <alignment horizontal="center"/>
    </xf>
    <xf numFmtId="0" fontId="23" fillId="3" borderId="21" xfId="0" applyFont="1" applyFill="1" applyBorder="1" applyProtection="1">
      <protection locked="0"/>
    </xf>
    <xf numFmtId="0" fontId="24" fillId="0" borderId="7" xfId="0" applyFont="1" applyFill="1" applyBorder="1" applyAlignment="1" applyProtection="1">
      <alignment horizontal="center"/>
      <protection locked="0"/>
    </xf>
    <xf numFmtId="0" fontId="24" fillId="0" borderId="10" xfId="0" applyFont="1" applyFill="1" applyBorder="1" applyAlignment="1" applyProtection="1">
      <alignment horizontal="center"/>
      <protection locked="0"/>
    </xf>
    <xf numFmtId="0" fontId="24" fillId="0" borderId="14" xfId="0" applyFont="1" applyFill="1" applyBorder="1" applyAlignment="1" applyProtection="1">
      <alignment horizontal="center"/>
      <protection locked="0"/>
    </xf>
    <xf numFmtId="0" fontId="19" fillId="0" borderId="0" xfId="0" applyFont="1" applyFill="1"/>
    <xf numFmtId="0" fontId="19" fillId="0" borderId="0" xfId="0" applyFont="1"/>
    <xf numFmtId="0" fontId="22" fillId="2" borderId="0" xfId="0" applyFont="1" applyFill="1" applyBorder="1" applyAlignment="1" applyProtection="1">
      <alignment horizontal="center"/>
      <protection locked="0"/>
    </xf>
    <xf numFmtId="0" fontId="23" fillId="2" borderId="0" xfId="0" applyFont="1" applyFill="1" applyBorder="1" applyProtection="1">
      <protection locked="0"/>
    </xf>
    <xf numFmtId="0" fontId="24" fillId="2" borderId="0" xfId="0" applyFont="1" applyFill="1" applyBorder="1" applyAlignment="1" applyProtection="1">
      <alignment horizontal="center"/>
      <protection locked="0"/>
    </xf>
    <xf numFmtId="0" fontId="24" fillId="2" borderId="0" xfId="0" applyFont="1" applyFill="1" applyBorder="1" applyProtection="1">
      <protection locked="0"/>
    </xf>
    <xf numFmtId="0" fontId="22" fillId="2" borderId="8" xfId="0" applyFont="1" applyFill="1" applyBorder="1" applyAlignment="1" applyProtection="1">
      <alignment horizontal="center"/>
      <protection locked="0"/>
    </xf>
    <xf numFmtId="0" fontId="24" fillId="0" borderId="20" xfId="0" applyFont="1" applyBorder="1" applyAlignment="1" applyProtection="1">
      <alignment horizontal="center"/>
      <protection locked="0"/>
    </xf>
    <xf numFmtId="0" fontId="24" fillId="0" borderId="7" xfId="0" applyFont="1" applyBorder="1" applyProtection="1">
      <protection locked="0"/>
    </xf>
    <xf numFmtId="0" fontId="23" fillId="0" borderId="54" xfId="0" applyFont="1" applyFill="1" applyBorder="1" applyAlignment="1" applyProtection="1"/>
    <xf numFmtId="0" fontId="24" fillId="2" borderId="10" xfId="0" applyFont="1" applyFill="1" applyBorder="1" applyAlignment="1" applyProtection="1">
      <alignment horizontal="center"/>
      <protection locked="0"/>
    </xf>
    <xf numFmtId="0" fontId="24" fillId="2" borderId="7" xfId="0" applyFont="1" applyFill="1" applyBorder="1" applyProtection="1">
      <protection locked="0"/>
    </xf>
    <xf numFmtId="0" fontId="24" fillId="2" borderId="10" xfId="0" applyFont="1" applyFill="1" applyBorder="1" applyProtection="1">
      <protection locked="0"/>
    </xf>
    <xf numFmtId="0" fontId="18" fillId="0" borderId="54" xfId="0" applyFont="1" applyFill="1" applyBorder="1" applyAlignment="1" applyProtection="1"/>
    <xf numFmtId="0" fontId="24" fillId="0" borderId="0" xfId="0" applyFont="1" applyBorder="1" applyAlignment="1" applyProtection="1">
      <alignment horizontal="center"/>
      <protection locked="0"/>
    </xf>
    <xf numFmtId="0" fontId="22" fillId="8" borderId="8" xfId="0" applyFont="1" applyFill="1" applyBorder="1" applyAlignment="1" applyProtection="1">
      <alignment horizontal="center"/>
      <protection locked="0"/>
    </xf>
    <xf numFmtId="0" fontId="22" fillId="8" borderId="9" xfId="0" applyFont="1" applyFill="1" applyBorder="1" applyProtection="1">
      <protection locked="0"/>
    </xf>
    <xf numFmtId="0" fontId="17" fillId="2" borderId="0" xfId="0" applyFont="1" applyFill="1" applyBorder="1" applyAlignment="1" applyProtection="1">
      <alignment horizontal="center"/>
      <protection locked="0"/>
    </xf>
    <xf numFmtId="0" fontId="17" fillId="2" borderId="6" xfId="0" applyFont="1" applyFill="1" applyBorder="1" applyAlignment="1" applyProtection="1">
      <alignment horizontal="right"/>
      <protection locked="0"/>
    </xf>
    <xf numFmtId="0" fontId="17" fillId="2" borderId="7" xfId="0" applyFont="1" applyFill="1" applyBorder="1" applyAlignment="1" applyProtection="1">
      <alignment horizontal="right"/>
      <protection locked="0"/>
    </xf>
    <xf numFmtId="1" fontId="19" fillId="0" borderId="10" xfId="0" applyNumberFormat="1" applyFont="1" applyBorder="1" applyAlignment="1" applyProtection="1">
      <alignment horizontal="center"/>
      <protection locked="0"/>
    </xf>
    <xf numFmtId="0" fontId="17" fillId="8" borderId="6" xfId="0" applyFont="1" applyFill="1" applyBorder="1" applyAlignment="1" applyProtection="1">
      <alignment horizontal="right"/>
      <protection locked="0"/>
    </xf>
    <xf numFmtId="0" fontId="17" fillId="8" borderId="7" xfId="0" applyFont="1" applyFill="1" applyBorder="1" applyAlignment="1" applyProtection="1">
      <alignment horizontal="right"/>
      <protection locked="0"/>
    </xf>
    <xf numFmtId="9" fontId="25" fillId="2" borderId="6" xfId="1" applyFont="1" applyFill="1" applyBorder="1" applyAlignment="1" applyProtection="1">
      <alignment horizontal="center"/>
      <protection locked="0"/>
    </xf>
    <xf numFmtId="9" fontId="19" fillId="0" borderId="16" xfId="1" applyFont="1" applyBorder="1" applyAlignment="1" applyProtection="1">
      <alignment horizontal="center"/>
      <protection locked="0"/>
    </xf>
    <xf numFmtId="9" fontId="19" fillId="2" borderId="7" xfId="0" applyNumberFormat="1" applyFont="1" applyFill="1" applyBorder="1" applyAlignment="1" applyProtection="1">
      <alignment horizontal="center"/>
      <protection locked="0"/>
    </xf>
    <xf numFmtId="9" fontId="19" fillId="2" borderId="0" xfId="0" applyNumberFormat="1" applyFont="1" applyFill="1" applyBorder="1" applyAlignment="1" applyProtection="1">
      <alignment horizontal="center"/>
      <protection locked="0"/>
    </xf>
    <xf numFmtId="9" fontId="25" fillId="2" borderId="0" xfId="1" applyFont="1" applyFill="1" applyBorder="1" applyAlignment="1" applyProtection="1">
      <alignment horizontal="center"/>
      <protection locked="0"/>
    </xf>
    <xf numFmtId="9" fontId="19" fillId="2" borderId="0" xfId="1" applyFont="1" applyFill="1" applyBorder="1" applyAlignment="1" applyProtection="1">
      <alignment horizontal="center"/>
      <protection locked="0"/>
    </xf>
    <xf numFmtId="0" fontId="22" fillId="8" borderId="6" xfId="0" applyFont="1" applyFill="1" applyBorder="1" applyAlignment="1" applyProtection="1">
      <alignment horizontal="center"/>
      <protection locked="0"/>
    </xf>
    <xf numFmtId="0" fontId="22" fillId="8" borderId="16" xfId="0" applyFont="1" applyFill="1" applyBorder="1" applyAlignment="1" applyProtection="1">
      <alignment horizontal="center"/>
      <protection locked="0"/>
    </xf>
    <xf numFmtId="0" fontId="22" fillId="8" borderId="7" xfId="0" applyFont="1" applyFill="1" applyBorder="1" applyAlignment="1" applyProtection="1">
      <alignment horizontal="center"/>
      <protection locked="0"/>
    </xf>
    <xf numFmtId="0" fontId="23" fillId="2" borderId="6" xfId="0" applyFont="1" applyFill="1" applyBorder="1" applyAlignment="1" applyProtection="1">
      <alignment horizontal="left" vertical="top"/>
      <protection locked="0"/>
    </xf>
    <xf numFmtId="0" fontId="23" fillId="2" borderId="16" xfId="0" applyFont="1" applyFill="1" applyBorder="1" applyAlignment="1" applyProtection="1">
      <alignment horizontal="left" vertical="top"/>
      <protection locked="0"/>
    </xf>
    <xf numFmtId="0" fontId="23" fillId="2" borderId="7" xfId="0" applyFont="1" applyFill="1" applyBorder="1" applyAlignment="1" applyProtection="1">
      <alignment horizontal="left" vertical="top"/>
      <protection locked="0"/>
    </xf>
    <xf numFmtId="0" fontId="13" fillId="2" borderId="17" xfId="0" applyFont="1" applyFill="1" applyBorder="1" applyProtection="1">
      <protection locked="0"/>
    </xf>
    <xf numFmtId="0" fontId="19" fillId="2" borderId="18" xfId="0" applyFont="1" applyFill="1" applyBorder="1" applyAlignment="1" applyProtection="1">
      <alignment horizontal="center"/>
      <protection locked="0"/>
    </xf>
    <xf numFmtId="0" fontId="13" fillId="2" borderId="18" xfId="0" applyFont="1" applyFill="1" applyBorder="1" applyProtection="1">
      <protection locked="0"/>
    </xf>
    <xf numFmtId="0" fontId="13" fillId="2" borderId="19" xfId="0" applyFont="1" applyFill="1" applyBorder="1"/>
    <xf numFmtId="0" fontId="13" fillId="0" borderId="0" xfId="0" applyFont="1" applyAlignment="1"/>
    <xf numFmtId="0" fontId="13" fillId="0" borderId="0" xfId="0" applyFont="1" applyAlignment="1">
      <alignment horizontal="center"/>
    </xf>
    <xf numFmtId="0" fontId="13" fillId="2" borderId="0" xfId="0" applyFont="1" applyFill="1" applyAlignment="1">
      <alignment horizontal="center"/>
    </xf>
    <xf numFmtId="0" fontId="14" fillId="0" borderId="1" xfId="0" applyFont="1" applyFill="1" applyBorder="1" applyAlignment="1"/>
    <xf numFmtId="0" fontId="13" fillId="2" borderId="2" xfId="0" applyFont="1" applyFill="1" applyBorder="1" applyAlignment="1"/>
    <xf numFmtId="0" fontId="13" fillId="2" borderId="2" xfId="0" applyFont="1" applyFill="1" applyBorder="1" applyAlignment="1">
      <alignment horizontal="center"/>
    </xf>
    <xf numFmtId="0" fontId="13" fillId="2" borderId="3" xfId="0" applyFont="1" applyFill="1" applyBorder="1" applyAlignment="1">
      <alignment horizontal="center"/>
    </xf>
    <xf numFmtId="0" fontId="13" fillId="2" borderId="4" xfId="0" applyFont="1" applyFill="1" applyBorder="1" applyAlignment="1"/>
    <xf numFmtId="0" fontId="26" fillId="2" borderId="0" xfId="0" applyFont="1" applyFill="1" applyBorder="1" applyAlignment="1"/>
    <xf numFmtId="0" fontId="13" fillId="2" borderId="5" xfId="0" applyFont="1" applyFill="1" applyBorder="1" applyAlignment="1">
      <alignment horizontal="center"/>
    </xf>
    <xf numFmtId="0" fontId="13" fillId="2" borderId="0" xfId="0" applyFont="1" applyFill="1" applyAlignment="1"/>
    <xf numFmtId="0" fontId="13" fillId="2" borderId="0" xfId="0" applyFont="1" applyFill="1" applyBorder="1" applyAlignment="1"/>
    <xf numFmtId="0" fontId="13" fillId="2" borderId="0" xfId="0" applyFont="1" applyFill="1" applyBorder="1" applyAlignment="1">
      <alignment horizontal="center"/>
    </xf>
    <xf numFmtId="0" fontId="24" fillId="2" borderId="4" xfId="0" applyFont="1" applyFill="1" applyBorder="1" applyAlignment="1" applyProtection="1">
      <protection locked="0"/>
    </xf>
    <xf numFmtId="0" fontId="27" fillId="2" borderId="0" xfId="0" applyFont="1" applyFill="1" applyBorder="1" applyAlignment="1" applyProtection="1">
      <protection locked="0"/>
    </xf>
    <xf numFmtId="0" fontId="18" fillId="2" borderId="0" xfId="0" applyFont="1" applyFill="1" applyBorder="1" applyAlignment="1" applyProtection="1">
      <protection locked="0"/>
    </xf>
    <xf numFmtId="0" fontId="27" fillId="2" borderId="0" xfId="0" applyFont="1" applyFill="1" applyBorder="1" applyAlignment="1" applyProtection="1">
      <alignment horizontal="center"/>
      <protection locked="0"/>
    </xf>
    <xf numFmtId="0" fontId="22" fillId="2" borderId="4" xfId="0" applyFont="1" applyFill="1" applyBorder="1" applyAlignment="1" applyProtection="1">
      <protection locked="0"/>
    </xf>
    <xf numFmtId="0" fontId="22" fillId="2" borderId="0" xfId="0" applyFont="1" applyFill="1" applyBorder="1" applyAlignment="1" applyProtection="1">
      <protection locked="0"/>
    </xf>
    <xf numFmtId="0" fontId="23" fillId="2" borderId="10" xfId="0" applyFont="1" applyFill="1" applyBorder="1" applyAlignment="1" applyProtection="1">
      <protection locked="0"/>
    </xf>
    <xf numFmtId="0" fontId="23" fillId="2" borderId="4" xfId="0" applyFont="1" applyFill="1" applyBorder="1" applyAlignment="1" applyProtection="1">
      <protection locked="0"/>
    </xf>
    <xf numFmtId="0" fontId="18" fillId="2" borderId="0" xfId="0" applyFont="1" applyFill="1" applyAlignment="1" applyProtection="1">
      <protection locked="0"/>
    </xf>
    <xf numFmtId="14" fontId="23" fillId="2" borderId="10" xfId="0" applyNumberFormat="1" applyFont="1" applyFill="1" applyBorder="1" applyAlignment="1" applyProtection="1">
      <alignment horizontal="left"/>
      <protection locked="0"/>
    </xf>
    <xf numFmtId="0" fontId="18" fillId="2" borderId="0" xfId="0" applyFont="1" applyFill="1" applyAlignment="1" applyProtection="1">
      <alignment horizontal="left"/>
      <protection locked="0"/>
    </xf>
    <xf numFmtId="0" fontId="22" fillId="2" borderId="4" xfId="0" applyFont="1" applyFill="1" applyBorder="1" applyAlignment="1" applyProtection="1">
      <alignment wrapText="1"/>
      <protection locked="0"/>
    </xf>
    <xf numFmtId="0" fontId="22" fillId="2" borderId="28" xfId="0" applyFont="1" applyFill="1" applyBorder="1" applyAlignment="1" applyProtection="1">
      <alignment wrapText="1"/>
      <protection locked="0"/>
    </xf>
    <xf numFmtId="0" fontId="23" fillId="0" borderId="10" xfId="0" applyFont="1" applyBorder="1" applyAlignment="1">
      <alignment horizontal="left"/>
    </xf>
    <xf numFmtId="0" fontId="28" fillId="2" borderId="0" xfId="0" applyFont="1" applyFill="1" applyBorder="1" applyAlignment="1" applyProtection="1">
      <protection locked="0"/>
    </xf>
    <xf numFmtId="0" fontId="22" fillId="8" borderId="8" xfId="0" applyFont="1" applyFill="1" applyBorder="1" applyAlignment="1" applyProtection="1">
      <protection locked="0"/>
    </xf>
    <xf numFmtId="0" fontId="22" fillId="2" borderId="8" xfId="0" applyFont="1" applyFill="1" applyBorder="1" applyAlignment="1" applyProtection="1">
      <protection locked="0"/>
    </xf>
    <xf numFmtId="0" fontId="23" fillId="0" borderId="13" xfId="0" applyFont="1" applyFill="1" applyBorder="1" applyAlignment="1" applyProtection="1">
      <protection locked="0"/>
    </xf>
    <xf numFmtId="0" fontId="23" fillId="0" borderId="10" xfId="0" applyFont="1" applyBorder="1" applyAlignment="1" applyProtection="1">
      <alignment horizontal="center"/>
      <protection locked="0"/>
    </xf>
    <xf numFmtId="0" fontId="23" fillId="0" borderId="11" xfId="0" applyFont="1" applyBorder="1" applyAlignment="1" applyProtection="1">
      <alignment horizontal="center"/>
      <protection locked="0"/>
    </xf>
    <xf numFmtId="0" fontId="23" fillId="0" borderId="6" xfId="0" applyFont="1" applyBorder="1" applyAlignment="1" applyProtection="1">
      <alignment horizontal="center"/>
      <protection locked="0"/>
    </xf>
    <xf numFmtId="0" fontId="22" fillId="2" borderId="12" xfId="0" applyFont="1" applyFill="1" applyBorder="1" applyAlignment="1" applyProtection="1">
      <protection locked="0"/>
    </xf>
    <xf numFmtId="0" fontId="23" fillId="0" borderId="54" xfId="0" applyFont="1" applyFill="1" applyBorder="1" applyAlignment="1" applyProtection="1">
      <protection locked="0"/>
    </xf>
    <xf numFmtId="0" fontId="22" fillId="2" borderId="15" xfId="0" applyFont="1" applyFill="1" applyBorder="1" applyAlignment="1" applyProtection="1">
      <protection locked="0"/>
    </xf>
    <xf numFmtId="0" fontId="23" fillId="0" borderId="21" xfId="0" applyFont="1" applyFill="1" applyBorder="1" applyAlignment="1" applyProtection="1">
      <protection locked="0"/>
    </xf>
    <xf numFmtId="0" fontId="22" fillId="2" borderId="0" xfId="0" applyFont="1" applyFill="1" applyBorder="1" applyAlignment="1" applyProtection="1">
      <protection locked="0"/>
    </xf>
    <xf numFmtId="0" fontId="23" fillId="2" borderId="0" xfId="0" applyFont="1" applyFill="1" applyBorder="1" applyAlignment="1" applyProtection="1">
      <protection locked="0"/>
    </xf>
    <xf numFmtId="0" fontId="23" fillId="2" borderId="0" xfId="0" applyFont="1" applyFill="1" applyBorder="1" applyAlignment="1" applyProtection="1">
      <alignment horizontal="center"/>
      <protection locked="0"/>
    </xf>
    <xf numFmtId="0" fontId="23" fillId="3" borderId="13" xfId="0" applyFont="1" applyFill="1" applyBorder="1" applyAlignment="1" applyProtection="1">
      <protection locked="0"/>
    </xf>
    <xf numFmtId="0" fontId="23" fillId="2" borderId="7" xfId="0" applyFont="1" applyFill="1" applyBorder="1" applyAlignment="1" applyProtection="1">
      <alignment horizontal="center"/>
      <protection locked="0"/>
    </xf>
    <xf numFmtId="0" fontId="23" fillId="0" borderId="20" xfId="0" applyFont="1" applyBorder="1" applyAlignment="1" applyProtection="1">
      <alignment horizontal="center"/>
      <protection locked="0"/>
    </xf>
    <xf numFmtId="0" fontId="23" fillId="0" borderId="7" xfId="0" applyFont="1" applyBorder="1" applyAlignment="1" applyProtection="1">
      <alignment horizontal="center"/>
      <protection locked="0"/>
    </xf>
    <xf numFmtId="0" fontId="23" fillId="3" borderId="54" xfId="0" applyFont="1" applyFill="1" applyBorder="1" applyAlignment="1" applyProtection="1">
      <protection locked="0"/>
    </xf>
    <xf numFmtId="0" fontId="23" fillId="2" borderId="10" xfId="0" applyFont="1" applyFill="1" applyBorder="1" applyAlignment="1" applyProtection="1">
      <alignment horizontal="center"/>
      <protection locked="0"/>
    </xf>
    <xf numFmtId="0" fontId="23" fillId="0" borderId="13" xfId="0" applyFont="1" applyBorder="1" applyAlignment="1" applyProtection="1">
      <alignment horizontal="center"/>
      <protection locked="0"/>
    </xf>
    <xf numFmtId="0" fontId="22" fillId="0" borderId="10" xfId="0" applyFont="1" applyFill="1" applyBorder="1" applyAlignment="1" applyProtection="1">
      <alignment horizontal="center"/>
      <protection locked="0"/>
    </xf>
    <xf numFmtId="0" fontId="22" fillId="0" borderId="14" xfId="0" applyFont="1" applyFill="1" applyBorder="1" applyAlignment="1" applyProtection="1">
      <alignment horizontal="center"/>
      <protection locked="0"/>
    </xf>
    <xf numFmtId="0" fontId="18" fillId="0" borderId="21" xfId="0" applyFont="1" applyFill="1" applyBorder="1" applyAlignment="1" applyProtection="1">
      <alignment vertical="top"/>
    </xf>
    <xf numFmtId="0" fontId="22" fillId="8" borderId="7" xfId="0" applyFont="1" applyFill="1" applyBorder="1" applyAlignment="1" applyProtection="1">
      <protection locked="0"/>
    </xf>
    <xf numFmtId="0" fontId="19" fillId="0" borderId="0" xfId="0" applyFont="1" applyAlignment="1"/>
    <xf numFmtId="0" fontId="23" fillId="0" borderId="0" xfId="0" applyFont="1" applyBorder="1" applyAlignment="1" applyProtection="1">
      <alignment horizontal="center"/>
      <protection locked="0"/>
    </xf>
    <xf numFmtId="0" fontId="22" fillId="2" borderId="6" xfId="0" applyFont="1" applyFill="1" applyBorder="1" applyAlignment="1" applyProtection="1">
      <protection locked="0"/>
    </xf>
    <xf numFmtId="0" fontId="23" fillId="3" borderId="7" xfId="0" applyFont="1" applyFill="1" applyBorder="1" applyAlignment="1" applyProtection="1">
      <protection locked="0"/>
    </xf>
    <xf numFmtId="0" fontId="22" fillId="0" borderId="6" xfId="0" applyFont="1" applyBorder="1" applyAlignment="1" applyProtection="1">
      <protection locked="0"/>
    </xf>
    <xf numFmtId="0" fontId="22" fillId="0" borderId="7" xfId="0" applyFont="1" applyBorder="1" applyAlignment="1" applyProtection="1">
      <protection locked="0"/>
    </xf>
    <xf numFmtId="0" fontId="22" fillId="0" borderId="10" xfId="0" applyFont="1" applyBorder="1" applyAlignment="1" applyProtection="1">
      <alignment horizontal="center"/>
      <protection locked="0"/>
    </xf>
    <xf numFmtId="0" fontId="22" fillId="0" borderId="6" xfId="0" applyFont="1" applyBorder="1" applyAlignment="1" applyProtection="1">
      <alignment horizontal="center"/>
      <protection locked="0"/>
    </xf>
    <xf numFmtId="0" fontId="22" fillId="0" borderId="14" xfId="0" applyFont="1" applyBorder="1" applyAlignment="1" applyProtection="1">
      <alignment horizontal="center"/>
      <protection locked="0"/>
    </xf>
    <xf numFmtId="9" fontId="29" fillId="2" borderId="6" xfId="1" applyFont="1" applyFill="1" applyBorder="1" applyAlignment="1" applyProtection="1">
      <alignment horizontal="center"/>
      <protection locked="0"/>
    </xf>
    <xf numFmtId="9" fontId="22" fillId="0" borderId="16" xfId="1" applyFont="1" applyBorder="1" applyAlignment="1" applyProtection="1">
      <alignment horizontal="center"/>
      <protection locked="0"/>
    </xf>
    <xf numFmtId="9" fontId="22" fillId="2" borderId="7" xfId="0" applyNumberFormat="1" applyFont="1" applyFill="1" applyBorder="1" applyAlignment="1" applyProtection="1">
      <alignment horizontal="center"/>
      <protection locked="0"/>
    </xf>
    <xf numFmtId="9" fontId="22" fillId="2" borderId="0" xfId="0" applyNumberFormat="1" applyFont="1" applyFill="1" applyBorder="1" applyAlignment="1" applyProtection="1">
      <alignment horizontal="center"/>
      <protection locked="0"/>
    </xf>
    <xf numFmtId="0" fontId="22" fillId="8" borderId="6" xfId="0" applyFont="1" applyFill="1" applyBorder="1" applyAlignment="1" applyProtection="1">
      <protection locked="0"/>
    </xf>
    <xf numFmtId="0" fontId="22" fillId="8" borderId="16" xfId="0" applyFont="1" applyFill="1" applyBorder="1" applyAlignment="1" applyProtection="1">
      <protection locked="0"/>
    </xf>
    <xf numFmtId="0" fontId="22" fillId="8" borderId="7" xfId="0" applyFont="1" applyFill="1" applyBorder="1" applyAlignment="1" applyProtection="1">
      <protection locked="0"/>
    </xf>
    <xf numFmtId="0" fontId="23" fillId="2" borderId="6" xfId="0" applyFont="1" applyFill="1" applyBorder="1" applyAlignment="1" applyProtection="1">
      <alignment vertical="top" wrapText="1"/>
      <protection locked="0"/>
    </xf>
    <xf numFmtId="0" fontId="23" fillId="2" borderId="16" xfId="0" applyFont="1" applyFill="1" applyBorder="1" applyAlignment="1" applyProtection="1">
      <alignment vertical="top" wrapText="1"/>
      <protection locked="0"/>
    </xf>
    <xf numFmtId="0" fontId="23" fillId="2" borderId="7" xfId="0" applyFont="1" applyFill="1" applyBorder="1" applyAlignment="1" applyProtection="1">
      <alignment vertical="top" wrapText="1"/>
      <protection locked="0"/>
    </xf>
    <xf numFmtId="0" fontId="24" fillId="2" borderId="17" xfId="0" applyFont="1" applyFill="1" applyBorder="1" applyAlignment="1" applyProtection="1">
      <protection locked="0"/>
    </xf>
    <xf numFmtId="0" fontId="27" fillId="2" borderId="18" xfId="0" applyFont="1" applyFill="1" applyBorder="1" applyAlignment="1" applyProtection="1">
      <protection locked="0"/>
    </xf>
    <xf numFmtId="0" fontId="24" fillId="2" borderId="18" xfId="0" applyFont="1" applyFill="1" applyBorder="1" applyAlignment="1" applyProtection="1">
      <protection locked="0"/>
    </xf>
    <xf numFmtId="0" fontId="27" fillId="2" borderId="18" xfId="0" applyFont="1" applyFill="1" applyBorder="1" applyAlignment="1" applyProtection="1">
      <alignment horizontal="center"/>
      <protection locked="0"/>
    </xf>
    <xf numFmtId="0" fontId="24" fillId="2" borderId="18" xfId="0" applyFont="1" applyFill="1" applyBorder="1" applyAlignment="1" applyProtection="1">
      <alignment horizontal="center"/>
      <protection locked="0"/>
    </xf>
    <xf numFmtId="0" fontId="13" fillId="2" borderId="19" xfId="0" applyFont="1" applyFill="1" applyBorder="1" applyAlignment="1">
      <alignment horizontal="center"/>
    </xf>
    <xf numFmtId="0" fontId="24" fillId="2" borderId="0" xfId="0" applyFont="1" applyFill="1" applyAlignment="1" applyProtection="1">
      <protection locked="0"/>
    </xf>
    <xf numFmtId="0" fontId="13" fillId="2" borderId="0" xfId="0" applyFont="1" applyFill="1" applyAlignment="1" applyProtection="1">
      <protection locked="0"/>
    </xf>
    <xf numFmtId="0" fontId="13" fillId="2" borderId="0" xfId="0" applyFont="1" applyFill="1" applyAlignment="1" applyProtection="1">
      <alignment horizontal="center"/>
      <protection locked="0"/>
    </xf>
    <xf numFmtId="0" fontId="26" fillId="2" borderId="0" xfId="0" applyFont="1" applyFill="1" applyBorder="1" applyAlignment="1">
      <alignment horizontal="center"/>
    </xf>
    <xf numFmtId="0" fontId="24" fillId="2" borderId="4" xfId="0" applyFont="1" applyFill="1" applyBorder="1" applyProtection="1">
      <protection locked="0"/>
    </xf>
    <xf numFmtId="0" fontId="30" fillId="2" borderId="0" xfId="0" applyFont="1" applyFill="1" applyBorder="1" applyAlignment="1" applyProtection="1">
      <alignment horizontal="right"/>
      <protection locked="0"/>
    </xf>
    <xf numFmtId="0" fontId="31" fillId="2" borderId="10" xfId="0" applyFont="1" applyFill="1" applyBorder="1" applyAlignment="1" applyProtection="1">
      <alignment horizontal="left" vertical="top"/>
      <protection locked="0"/>
    </xf>
    <xf numFmtId="0" fontId="27" fillId="2" borderId="0" xfId="0" applyFont="1" applyFill="1" applyBorder="1" applyProtection="1">
      <protection locked="0"/>
    </xf>
    <xf numFmtId="0" fontId="13" fillId="2" borderId="0" xfId="0" applyFont="1" applyFill="1" applyBorder="1" applyAlignment="1" applyProtection="1">
      <alignment horizontal="left" vertical="top"/>
      <protection locked="0"/>
    </xf>
    <xf numFmtId="0" fontId="30" fillId="2" borderId="4" xfId="0" applyFont="1" applyFill="1" applyBorder="1" applyAlignment="1" applyProtection="1">
      <alignment horizontal="right"/>
      <protection locked="0"/>
    </xf>
    <xf numFmtId="14" fontId="31" fillId="2" borderId="10" xfId="0" applyNumberFormat="1" applyFont="1" applyFill="1" applyBorder="1" applyAlignment="1" applyProtection="1">
      <alignment horizontal="left" vertical="top"/>
      <protection locked="0"/>
    </xf>
    <xf numFmtId="0" fontId="32" fillId="2" borderId="0" xfId="0" applyFont="1" applyFill="1" applyBorder="1" applyAlignment="1" applyProtection="1">
      <protection locked="0"/>
    </xf>
    <xf numFmtId="0" fontId="33" fillId="2" borderId="0" xfId="0" applyFont="1" applyFill="1" applyBorder="1" applyAlignment="1" applyProtection="1">
      <protection locked="0"/>
    </xf>
    <xf numFmtId="0" fontId="34" fillId="8" borderId="6" xfId="0" applyFont="1" applyFill="1" applyBorder="1" applyAlignment="1" applyProtection="1">
      <alignment horizontal="center"/>
      <protection locked="0"/>
    </xf>
    <xf numFmtId="0" fontId="22" fillId="8" borderId="7" xfId="0" applyFont="1" applyFill="1" applyBorder="1" applyProtection="1">
      <protection locked="0"/>
    </xf>
    <xf numFmtId="0" fontId="27" fillId="2" borderId="8" xfId="0" applyFont="1" applyFill="1" applyBorder="1" applyAlignment="1" applyProtection="1">
      <alignment horizontal="center"/>
      <protection locked="0"/>
    </xf>
    <xf numFmtId="0" fontId="35" fillId="0" borderId="13" xfId="0" applyFont="1" applyBorder="1" applyAlignment="1">
      <alignment horizontal="left" vertical="center" indent="2"/>
    </xf>
    <xf numFmtId="0" fontId="24" fillId="0" borderId="7" xfId="0" applyFont="1" applyBorder="1" applyAlignment="1" applyProtection="1">
      <alignment horizontal="center" vertical="center"/>
      <protection locked="0"/>
    </xf>
    <xf numFmtId="0" fontId="24" fillId="0" borderId="10" xfId="0" applyFont="1" applyBorder="1" applyAlignment="1" applyProtection="1">
      <alignment horizontal="center" vertical="center"/>
      <protection locked="0"/>
    </xf>
    <xf numFmtId="0" fontId="24" fillId="0" borderId="11" xfId="0" applyFont="1" applyBorder="1" applyAlignment="1" applyProtection="1">
      <alignment horizontal="center" vertical="center"/>
      <protection locked="0"/>
    </xf>
    <xf numFmtId="0" fontId="24" fillId="0" borderId="6" xfId="0" applyFont="1" applyBorder="1" applyAlignment="1" applyProtection="1">
      <alignment horizontal="center" vertical="center"/>
      <protection locked="0"/>
    </xf>
    <xf numFmtId="0" fontId="36" fillId="0" borderId="0" xfId="0" applyFont="1"/>
    <xf numFmtId="0" fontId="27" fillId="2" borderId="12" xfId="0" applyFont="1" applyFill="1" applyBorder="1" applyAlignment="1" applyProtection="1">
      <alignment horizontal="center"/>
      <protection locked="0"/>
    </xf>
    <xf numFmtId="0" fontId="35" fillId="0" borderId="54" xfId="0" applyFont="1" applyBorder="1" applyAlignment="1">
      <alignment horizontal="left" vertical="center" indent="2"/>
    </xf>
    <xf numFmtId="0" fontId="27" fillId="2" borderId="15" xfId="0" applyFont="1" applyFill="1" applyBorder="1" applyAlignment="1" applyProtection="1">
      <alignment horizontal="center"/>
      <protection locked="0"/>
    </xf>
    <xf numFmtId="0" fontId="35" fillId="0" borderId="21" xfId="0" applyFont="1" applyBorder="1" applyAlignment="1">
      <alignment horizontal="left" vertical="center" indent="2"/>
    </xf>
    <xf numFmtId="0" fontId="24" fillId="2" borderId="0" xfId="0" applyFont="1" applyFill="1" applyBorder="1" applyAlignment="1" applyProtection="1">
      <alignment horizontal="center" vertical="center"/>
      <protection locked="0"/>
    </xf>
    <xf numFmtId="0" fontId="19" fillId="8" borderId="6" xfId="0" applyFont="1" applyFill="1" applyBorder="1" applyAlignment="1" applyProtection="1">
      <alignment horizontal="center"/>
      <protection locked="0"/>
    </xf>
    <xf numFmtId="0" fontId="17" fillId="8" borderId="7" xfId="0" applyFont="1" applyFill="1" applyBorder="1" applyProtection="1">
      <protection locked="0"/>
    </xf>
    <xf numFmtId="0" fontId="36" fillId="2" borderId="0" xfId="0" applyFont="1" applyFill="1" applyAlignment="1"/>
    <xf numFmtId="0" fontId="36" fillId="2" borderId="0" xfId="0" applyFont="1" applyFill="1"/>
    <xf numFmtId="0" fontId="19" fillId="2" borderId="8" xfId="0" applyFont="1" applyFill="1" applyBorder="1" applyAlignment="1" applyProtection="1">
      <alignment horizontal="center"/>
    </xf>
    <xf numFmtId="0" fontId="24" fillId="0" borderId="7" xfId="0" applyFont="1" applyFill="1" applyBorder="1" applyAlignment="1" applyProtection="1">
      <alignment horizontal="center" vertical="center"/>
      <protection locked="0"/>
    </xf>
    <xf numFmtId="0" fontId="24" fillId="0" borderId="10" xfId="0" applyFont="1" applyFill="1" applyBorder="1" applyAlignment="1" applyProtection="1">
      <alignment horizontal="center" vertical="center"/>
      <protection locked="0"/>
    </xf>
    <xf numFmtId="0" fontId="19" fillId="2" borderId="12" xfId="0" applyFont="1" applyFill="1" applyBorder="1" applyAlignment="1" applyProtection="1">
      <alignment horizontal="center"/>
    </xf>
    <xf numFmtId="0" fontId="19" fillId="2" borderId="15" xfId="0" applyFont="1" applyFill="1" applyBorder="1" applyAlignment="1" applyProtection="1">
      <alignment horizontal="center"/>
    </xf>
    <xf numFmtId="0" fontId="27" fillId="2" borderId="0" xfId="0" applyFont="1" applyFill="1" applyBorder="1" applyAlignment="1" applyProtection="1">
      <alignment horizontal="center"/>
    </xf>
    <xf numFmtId="0" fontId="13" fillId="2" borderId="0" xfId="0" applyFont="1" applyFill="1" applyBorder="1" applyProtection="1"/>
    <xf numFmtId="0" fontId="36" fillId="2" borderId="0" xfId="0" applyFont="1" applyFill="1" applyBorder="1"/>
    <xf numFmtId="0" fontId="24" fillId="2" borderId="7" xfId="0" applyFont="1" applyFill="1" applyBorder="1" applyAlignment="1" applyProtection="1">
      <alignment horizontal="center" vertical="center"/>
      <protection locked="0"/>
    </xf>
    <xf numFmtId="0" fontId="24" fillId="2" borderId="10" xfId="0" applyFont="1" applyFill="1" applyBorder="1" applyAlignment="1" applyProtection="1">
      <alignment horizontal="center" vertical="center"/>
      <protection locked="0"/>
    </xf>
    <xf numFmtId="0" fontId="24" fillId="2" borderId="6" xfId="0" applyFont="1" applyFill="1" applyBorder="1" applyAlignment="1" applyProtection="1">
      <alignment horizontal="center" vertical="center"/>
      <protection locked="0"/>
    </xf>
    <xf numFmtId="0" fontId="23" fillId="0" borderId="54" xfId="0" applyFont="1" applyBorder="1" applyAlignment="1">
      <alignment horizontal="left" vertical="center" indent="2"/>
    </xf>
    <xf numFmtId="0" fontId="14" fillId="2" borderId="4" xfId="0" applyFont="1" applyFill="1" applyBorder="1" applyProtection="1">
      <protection locked="0"/>
    </xf>
    <xf numFmtId="0" fontId="27" fillId="8" borderId="6" xfId="0" applyFont="1" applyFill="1" applyBorder="1" applyAlignment="1" applyProtection="1">
      <alignment horizontal="center"/>
      <protection locked="0"/>
    </xf>
    <xf numFmtId="0" fontId="19" fillId="2" borderId="15" xfId="0" applyFont="1" applyFill="1" applyBorder="1" applyAlignment="1">
      <alignment horizontal="center"/>
    </xf>
    <xf numFmtId="0" fontId="13" fillId="0" borderId="7" xfId="0" applyFont="1" applyBorder="1" applyAlignment="1">
      <alignment horizontal="center" vertical="center"/>
    </xf>
    <xf numFmtId="0" fontId="13" fillId="0" borderId="10" xfId="0" applyFont="1" applyBorder="1" applyAlignment="1">
      <alignment horizontal="center" vertical="center"/>
    </xf>
    <xf numFmtId="0" fontId="14" fillId="2" borderId="0" xfId="0" applyFont="1" applyFill="1" applyBorder="1" applyAlignment="1" applyProtection="1">
      <alignment horizontal="center"/>
      <protection locked="0"/>
    </xf>
    <xf numFmtId="0" fontId="14" fillId="2" borderId="0" xfId="0" applyFont="1" applyFill="1" applyBorder="1" applyProtection="1">
      <protection locked="0"/>
    </xf>
    <xf numFmtId="0" fontId="27" fillId="0" borderId="0" xfId="0" applyFont="1" applyBorder="1" applyAlignment="1" applyProtection="1">
      <alignment horizontal="center"/>
      <protection locked="0"/>
    </xf>
    <xf numFmtId="0" fontId="22" fillId="0" borderId="10" xfId="0" applyFont="1" applyBorder="1" applyProtection="1">
      <protection locked="0"/>
    </xf>
    <xf numFmtId="0" fontId="27" fillId="0" borderId="10" xfId="0" applyFont="1" applyBorder="1" applyAlignment="1" applyProtection="1">
      <alignment horizontal="center"/>
      <protection locked="0"/>
    </xf>
    <xf numFmtId="0" fontId="22" fillId="8" borderId="6" xfId="0" applyFont="1" applyFill="1" applyBorder="1" applyProtection="1">
      <protection locked="0"/>
    </xf>
    <xf numFmtId="9" fontId="27" fillId="0" borderId="16" xfId="1" applyFont="1" applyBorder="1" applyAlignment="1" applyProtection="1">
      <alignment horizontal="center"/>
      <protection locked="0"/>
    </xf>
    <xf numFmtId="9" fontId="27" fillId="2" borderId="7" xfId="0" applyNumberFormat="1" applyFont="1" applyFill="1" applyBorder="1" applyAlignment="1" applyProtection="1">
      <alignment horizontal="center"/>
      <protection locked="0"/>
    </xf>
    <xf numFmtId="9" fontId="27" fillId="2" borderId="0" xfId="0" applyNumberFormat="1" applyFont="1" applyFill="1" applyBorder="1" applyAlignment="1" applyProtection="1">
      <alignment horizontal="center"/>
      <protection locked="0"/>
    </xf>
    <xf numFmtId="0" fontId="27" fillId="2" borderId="16" xfId="0" applyFont="1" applyFill="1" applyBorder="1" applyAlignment="1" applyProtection="1">
      <alignment horizontal="left" vertical="top"/>
      <protection locked="0"/>
    </xf>
    <xf numFmtId="0" fontId="27" fillId="2" borderId="7" xfId="0" applyFont="1" applyFill="1" applyBorder="1" applyAlignment="1" applyProtection="1">
      <alignment horizontal="left" vertical="top"/>
      <protection locked="0"/>
    </xf>
    <xf numFmtId="0" fontId="24" fillId="2" borderId="17" xfId="0" applyFont="1" applyFill="1" applyBorder="1" applyProtection="1">
      <protection locked="0"/>
    </xf>
    <xf numFmtId="0" fontId="24" fillId="2" borderId="18" xfId="0" applyFont="1" applyFill="1" applyBorder="1" applyProtection="1">
      <protection locked="0"/>
    </xf>
    <xf numFmtId="0" fontId="24" fillId="2" borderId="0" xfId="0" applyFont="1" applyFill="1" applyProtection="1">
      <protection locked="0"/>
    </xf>
    <xf numFmtId="0" fontId="13" fillId="2" borderId="0" xfId="0" applyFont="1" applyFill="1" applyProtection="1">
      <protection locked="0"/>
    </xf>
    <xf numFmtId="0" fontId="24" fillId="2" borderId="0" xfId="0" applyFont="1" applyFill="1"/>
    <xf numFmtId="0" fontId="14" fillId="2" borderId="0" xfId="0" applyFont="1" applyFill="1" applyBorder="1"/>
    <xf numFmtId="0" fontId="14" fillId="2" borderId="0" xfId="0" applyFont="1" applyFill="1" applyAlignment="1">
      <alignment horizontal="left"/>
    </xf>
    <xf numFmtId="0" fontId="24" fillId="2" borderId="2" xfId="0" applyFont="1" applyFill="1" applyBorder="1"/>
    <xf numFmtId="0" fontId="14" fillId="2" borderId="3" xfId="0" applyFont="1" applyFill="1" applyBorder="1"/>
    <xf numFmtId="0" fontId="15" fillId="2" borderId="4" xfId="0" applyFont="1" applyFill="1" applyBorder="1" applyAlignment="1">
      <alignment vertical="center"/>
    </xf>
    <xf numFmtId="0" fontId="15" fillId="2" borderId="0" xfId="0" applyFont="1" applyFill="1" applyBorder="1" applyAlignment="1">
      <alignment vertical="center"/>
    </xf>
    <xf numFmtId="0" fontId="15" fillId="2" borderId="0" xfId="0" applyFont="1" applyFill="1" applyBorder="1" applyAlignment="1">
      <alignment horizontal="center" vertical="center"/>
    </xf>
    <xf numFmtId="0" fontId="37" fillId="2" borderId="5" xfId="0" applyFont="1" applyFill="1" applyBorder="1" applyAlignment="1">
      <alignment vertical="center"/>
    </xf>
    <xf numFmtId="0" fontId="15" fillId="2" borderId="0" xfId="0" applyFont="1" applyFill="1" applyBorder="1" applyAlignment="1">
      <alignment horizontal="center" vertical="center"/>
    </xf>
    <xf numFmtId="0" fontId="38" fillId="2" borderId="0" xfId="0" applyFont="1" applyFill="1" applyBorder="1" applyAlignment="1">
      <alignment horizontal="right" vertical="center" wrapText="1"/>
    </xf>
    <xf numFmtId="0" fontId="39" fillId="0" borderId="59" xfId="0" applyFont="1" applyFill="1" applyBorder="1" applyAlignment="1">
      <alignment horizontal="left" vertical="top"/>
    </xf>
    <xf numFmtId="0" fontId="39" fillId="0" borderId="46" xfId="0" applyFont="1" applyFill="1" applyBorder="1" applyAlignment="1">
      <alignment horizontal="left" vertical="top"/>
    </xf>
    <xf numFmtId="0" fontId="39" fillId="0" borderId="48" xfId="0" applyFont="1" applyFill="1" applyBorder="1" applyAlignment="1">
      <alignment horizontal="left" vertical="top"/>
    </xf>
    <xf numFmtId="0" fontId="38" fillId="4" borderId="51" xfId="0" applyFont="1" applyFill="1" applyBorder="1" applyAlignment="1">
      <alignment horizontal="left" vertical="top"/>
    </xf>
    <xf numFmtId="0" fontId="38" fillId="4" borderId="16" xfId="0" applyFont="1" applyFill="1" applyBorder="1" applyAlignment="1">
      <alignment horizontal="left" vertical="top"/>
    </xf>
    <xf numFmtId="0" fontId="38" fillId="4" borderId="20" xfId="0" applyFont="1" applyFill="1" applyBorder="1" applyAlignment="1">
      <alignment horizontal="left" vertical="top"/>
    </xf>
    <xf numFmtId="0" fontId="38" fillId="0" borderId="51" xfId="0" applyFont="1" applyFill="1" applyBorder="1" applyAlignment="1">
      <alignment horizontal="left" vertical="top"/>
    </xf>
    <xf numFmtId="0" fontId="38" fillId="0" borderId="16" xfId="0" applyFont="1" applyFill="1" applyBorder="1" applyAlignment="1">
      <alignment horizontal="left" vertical="top"/>
    </xf>
    <xf numFmtId="0" fontId="38" fillId="0" borderId="20" xfId="0" applyFont="1" applyFill="1" applyBorder="1" applyAlignment="1">
      <alignment horizontal="left" vertical="top"/>
    </xf>
    <xf numFmtId="0" fontId="38" fillId="0" borderId="55" xfId="0" applyFont="1" applyFill="1" applyBorder="1" applyAlignment="1">
      <alignment horizontal="left" vertical="top"/>
    </xf>
    <xf numFmtId="0" fontId="38" fillId="0" borderId="49" xfId="0" applyFont="1" applyFill="1" applyBorder="1" applyAlignment="1">
      <alignment horizontal="left" vertical="top"/>
    </xf>
    <xf numFmtId="0" fontId="38" fillId="0" borderId="56" xfId="0" applyFont="1" applyFill="1" applyBorder="1" applyAlignment="1">
      <alignment horizontal="left" vertical="top"/>
    </xf>
    <xf numFmtId="0" fontId="40" fillId="2" borderId="0" xfId="0" applyFont="1" applyFill="1" applyBorder="1" applyAlignment="1">
      <alignment horizontal="center"/>
    </xf>
    <xf numFmtId="0" fontId="14" fillId="2" borderId="5" xfId="0" applyFont="1" applyFill="1" applyBorder="1"/>
    <xf numFmtId="0" fontId="38" fillId="2" borderId="0" xfId="0" applyFont="1" applyFill="1" applyBorder="1" applyAlignment="1">
      <alignment horizontal="right" vertical="top" wrapText="1"/>
    </xf>
    <xf numFmtId="0" fontId="38" fillId="2" borderId="0" xfId="0" applyFont="1" applyFill="1" applyBorder="1" applyAlignment="1">
      <alignment horizontal="left" vertical="top"/>
    </xf>
    <xf numFmtId="0" fontId="41" fillId="2" borderId="0" xfId="0" applyFont="1" applyFill="1" applyBorder="1" applyAlignment="1">
      <alignment horizontal="center"/>
    </xf>
    <xf numFmtId="0" fontId="42" fillId="5" borderId="30" xfId="0" applyFont="1" applyFill="1" applyBorder="1" applyAlignment="1">
      <alignment horizontal="center" vertical="center"/>
    </xf>
    <xf numFmtId="0" fontId="42" fillId="5" borderId="2" xfId="0" applyFont="1" applyFill="1" applyBorder="1" applyAlignment="1">
      <alignment horizontal="center" vertical="center"/>
    </xf>
    <xf numFmtId="0" fontId="42" fillId="5" borderId="3" xfId="0" applyFont="1" applyFill="1" applyBorder="1" applyAlignment="1">
      <alignment horizontal="center" vertical="center"/>
    </xf>
    <xf numFmtId="0" fontId="42" fillId="5" borderId="1" xfId="0" applyFont="1" applyFill="1" applyBorder="1" applyAlignment="1">
      <alignment horizontal="center" vertical="center"/>
    </xf>
    <xf numFmtId="0" fontId="42" fillId="5" borderId="25" xfId="0" applyFont="1" applyFill="1" applyBorder="1" applyAlignment="1">
      <alignment horizontal="center" vertical="center"/>
    </xf>
    <xf numFmtId="0" fontId="42" fillId="5" borderId="31" xfId="0" applyFont="1" applyFill="1" applyBorder="1" applyAlignment="1">
      <alignment horizontal="center" vertical="center"/>
    </xf>
    <xf numFmtId="0" fontId="23" fillId="2" borderId="0" xfId="0" applyFont="1" applyFill="1" applyBorder="1" applyAlignment="1"/>
    <xf numFmtId="0" fontId="43" fillId="2" borderId="0" xfId="0" applyFont="1" applyFill="1" applyBorder="1" applyAlignment="1"/>
    <xf numFmtId="0" fontId="43" fillId="2" borderId="5" xfId="0" applyFont="1" applyFill="1" applyBorder="1" applyAlignment="1"/>
    <xf numFmtId="0" fontId="17" fillId="6" borderId="32" xfId="2" applyFont="1" applyFill="1" applyBorder="1" applyAlignment="1">
      <alignment horizontal="center"/>
    </xf>
    <xf numFmtId="0" fontId="17" fillId="4" borderId="47" xfId="2" applyFont="1" applyFill="1" applyBorder="1" applyAlignment="1">
      <alignment horizontal="center"/>
    </xf>
    <xf numFmtId="0" fontId="17" fillId="4" borderId="34" xfId="2" applyFont="1" applyFill="1" applyBorder="1" applyAlignment="1">
      <alignment horizontal="center"/>
    </xf>
    <xf numFmtId="0" fontId="17" fillId="4" borderId="36" xfId="2" applyFont="1" applyFill="1" applyBorder="1" applyAlignment="1">
      <alignment horizontal="center"/>
    </xf>
    <xf numFmtId="0" fontId="17" fillId="4" borderId="33" xfId="2" applyFont="1" applyFill="1" applyBorder="1" applyAlignment="1">
      <alignment horizontal="center"/>
    </xf>
    <xf numFmtId="0" fontId="17" fillId="4" borderId="35" xfId="2" applyFont="1" applyFill="1" applyBorder="1" applyAlignment="1">
      <alignment horizontal="center"/>
    </xf>
    <xf numFmtId="0" fontId="22" fillId="2" borderId="0" xfId="2" applyFont="1" applyFill="1" applyBorder="1" applyAlignment="1">
      <alignment horizontal="center"/>
    </xf>
    <xf numFmtId="0" fontId="29" fillId="2" borderId="0" xfId="2" applyFont="1" applyFill="1" applyBorder="1" applyAlignment="1">
      <alignment horizontal="center"/>
    </xf>
    <xf numFmtId="0" fontId="29" fillId="2" borderId="5" xfId="2" applyFont="1" applyFill="1" applyBorder="1" applyAlignment="1">
      <alignment horizontal="center"/>
    </xf>
    <xf numFmtId="0" fontId="29" fillId="2" borderId="0" xfId="2" applyFont="1" applyFill="1" applyBorder="1" applyAlignment="1">
      <alignment horizontal="center" vertical="center"/>
    </xf>
    <xf numFmtId="0" fontId="25" fillId="2" borderId="37" xfId="0" applyFont="1" applyFill="1" applyBorder="1" applyAlignment="1">
      <alignment horizontal="center"/>
    </xf>
    <xf numFmtId="0" fontId="17" fillId="6" borderId="38" xfId="2" applyFont="1" applyFill="1" applyBorder="1" applyAlignment="1">
      <alignment horizontal="center"/>
    </xf>
    <xf numFmtId="0" fontId="44" fillId="6" borderId="7" xfId="2" applyFont="1" applyFill="1" applyBorder="1" applyAlignment="1"/>
    <xf numFmtId="0" fontId="44" fillId="6" borderId="10" xfId="2" applyFont="1" applyFill="1" applyBorder="1" applyAlignment="1"/>
    <xf numFmtId="0" fontId="44" fillId="0" borderId="11" xfId="0" applyFont="1" applyBorder="1"/>
    <xf numFmtId="0" fontId="44" fillId="0" borderId="14" xfId="0" applyFont="1" applyBorder="1"/>
    <xf numFmtId="0" fontId="44" fillId="0" borderId="6" xfId="0" applyFont="1" applyBorder="1"/>
    <xf numFmtId="0" fontId="45" fillId="2" borderId="0" xfId="0" applyFont="1" applyFill="1" applyBorder="1"/>
    <xf numFmtId="0" fontId="46" fillId="2" borderId="0" xfId="0" applyFont="1" applyFill="1" applyBorder="1"/>
    <xf numFmtId="0" fontId="46" fillId="2" borderId="5" xfId="0" applyFont="1" applyFill="1" applyBorder="1"/>
    <xf numFmtId="0" fontId="46" fillId="2" borderId="16" xfId="0" applyFont="1" applyFill="1" applyBorder="1"/>
    <xf numFmtId="0" fontId="46" fillId="2" borderId="7" xfId="0" applyFont="1" applyFill="1" applyBorder="1"/>
    <xf numFmtId="0" fontId="46" fillId="2" borderId="10" xfId="2" applyFont="1" applyFill="1" applyBorder="1" applyAlignment="1"/>
    <xf numFmtId="0" fontId="23" fillId="2" borderId="40" xfId="0" applyFont="1" applyFill="1" applyBorder="1" applyAlignment="1" applyProtection="1">
      <alignment vertical="center"/>
      <protection locked="0"/>
    </xf>
    <xf numFmtId="0" fontId="18" fillId="2" borderId="7" xfId="0" applyNumberFormat="1" applyFont="1" applyFill="1" applyBorder="1" applyAlignment="1">
      <alignment horizontal="right"/>
    </xf>
    <xf numFmtId="0" fontId="18" fillId="2" borderId="10" xfId="0" applyNumberFormat="1" applyFont="1" applyFill="1" applyBorder="1" applyAlignment="1">
      <alignment horizontal="right"/>
    </xf>
    <xf numFmtId="9" fontId="18" fillId="2" borderId="53" xfId="0" applyNumberFormat="1" applyFont="1" applyFill="1" applyBorder="1" applyAlignment="1">
      <alignment horizontal="right"/>
    </xf>
    <xf numFmtId="0" fontId="18" fillId="2" borderId="52" xfId="0" applyNumberFormat="1" applyFont="1" applyFill="1" applyBorder="1" applyAlignment="1">
      <alignment horizontal="right"/>
    </xf>
    <xf numFmtId="0" fontId="18" fillId="2" borderId="21" xfId="2" applyFont="1" applyFill="1" applyBorder="1" applyAlignment="1">
      <alignment horizontal="right"/>
    </xf>
    <xf numFmtId="9" fontId="18" fillId="2" borderId="53" xfId="2" applyNumberFormat="1" applyFont="1" applyFill="1" applyBorder="1" applyAlignment="1">
      <alignment horizontal="right"/>
    </xf>
    <xf numFmtId="9" fontId="23" fillId="2" borderId="0" xfId="2" applyNumberFormat="1" applyFont="1" applyFill="1" applyBorder="1" applyAlignment="1">
      <alignment horizontal="right"/>
    </xf>
    <xf numFmtId="9" fontId="43" fillId="2" borderId="0" xfId="2" applyNumberFormat="1" applyFont="1" applyFill="1" applyBorder="1" applyAlignment="1">
      <alignment horizontal="right"/>
    </xf>
    <xf numFmtId="9" fontId="43" fillId="2" borderId="5" xfId="2" applyNumberFormat="1" applyFont="1" applyFill="1" applyBorder="1" applyAlignment="1">
      <alignment horizontal="right"/>
    </xf>
    <xf numFmtId="0" fontId="43" fillId="2" borderId="0" xfId="2" applyNumberFormat="1" applyFont="1" applyFill="1" applyBorder="1" applyAlignment="1">
      <alignment horizontal="right"/>
    </xf>
    <xf numFmtId="0" fontId="43" fillId="2" borderId="0" xfId="2" applyFont="1" applyFill="1" applyBorder="1" applyAlignment="1">
      <alignment horizontal="right"/>
    </xf>
    <xf numFmtId="0" fontId="14" fillId="2" borderId="0" xfId="0" applyNumberFormat="1" applyFont="1" applyFill="1" applyBorder="1" applyAlignment="1">
      <alignment horizontal="left"/>
    </xf>
    <xf numFmtId="0" fontId="43" fillId="2" borderId="0" xfId="2" applyNumberFormat="1" applyFont="1" applyFill="1" applyBorder="1" applyAlignment="1">
      <alignment horizontal="left"/>
    </xf>
    <xf numFmtId="0" fontId="18" fillId="2" borderId="40" xfId="2" applyFont="1" applyFill="1" applyBorder="1" applyAlignment="1">
      <alignment horizontal="left"/>
    </xf>
    <xf numFmtId="0" fontId="18" fillId="2" borderId="51" xfId="2" applyFont="1" applyFill="1" applyBorder="1" applyAlignment="1">
      <alignment horizontal="right" vertical="center"/>
    </xf>
    <xf numFmtId="9" fontId="18" fillId="2" borderId="11" xfId="2" applyNumberFormat="1" applyFont="1" applyFill="1" applyBorder="1" applyAlignment="1">
      <alignment horizontal="right"/>
    </xf>
    <xf numFmtId="0" fontId="14" fillId="2" borderId="0" xfId="0" applyNumberFormat="1" applyFont="1" applyFill="1" applyAlignment="1">
      <alignment horizontal="left"/>
    </xf>
    <xf numFmtId="0" fontId="18" fillId="2" borderId="39" xfId="0" applyFont="1" applyFill="1" applyBorder="1"/>
    <xf numFmtId="9" fontId="18" fillId="2" borderId="11" xfId="0" applyNumberFormat="1" applyFont="1" applyFill="1" applyBorder="1" applyAlignment="1">
      <alignment horizontal="right"/>
    </xf>
    <xf numFmtId="0" fontId="18" fillId="2" borderId="14" xfId="0" applyFont="1" applyFill="1" applyBorder="1" applyAlignment="1">
      <alignment horizontal="right"/>
    </xf>
    <xf numFmtId="0" fontId="18" fillId="2" borderId="10" xfId="2" applyFont="1" applyFill="1" applyBorder="1" applyAlignment="1">
      <alignment horizontal="right" vertical="center"/>
    </xf>
    <xf numFmtId="0" fontId="18" fillId="2" borderId="10" xfId="2" applyFont="1" applyFill="1" applyBorder="1" applyAlignment="1">
      <alignment horizontal="right"/>
    </xf>
    <xf numFmtId="0" fontId="18" fillId="2" borderId="10" xfId="0" applyFont="1" applyFill="1" applyBorder="1" applyAlignment="1">
      <alignment horizontal="right"/>
    </xf>
    <xf numFmtId="1" fontId="18" fillId="2" borderId="51" xfId="0" applyNumberFormat="1" applyFont="1" applyFill="1" applyBorder="1" applyAlignment="1">
      <alignment horizontal="right"/>
    </xf>
    <xf numFmtId="9" fontId="13" fillId="2" borderId="11" xfId="0" applyNumberFormat="1" applyFont="1" applyFill="1" applyBorder="1" applyAlignment="1"/>
    <xf numFmtId="9" fontId="18" fillId="2" borderId="6" xfId="0" applyNumberFormat="1" applyFont="1" applyFill="1" applyBorder="1" applyAlignment="1">
      <alignment horizontal="right"/>
    </xf>
    <xf numFmtId="0" fontId="18" fillId="2" borderId="21" xfId="0" applyFont="1" applyFill="1" applyBorder="1" applyAlignment="1">
      <alignment horizontal="right"/>
    </xf>
    <xf numFmtId="9" fontId="23" fillId="2" borderId="0" xfId="0" applyNumberFormat="1" applyFont="1" applyFill="1" applyBorder="1" applyAlignment="1">
      <alignment horizontal="right"/>
    </xf>
    <xf numFmtId="9" fontId="43" fillId="2" borderId="0" xfId="0" applyNumberFormat="1" applyFont="1" applyFill="1" applyBorder="1" applyAlignment="1">
      <alignment horizontal="right"/>
    </xf>
    <xf numFmtId="9" fontId="43" fillId="2" borderId="5" xfId="0" applyNumberFormat="1" applyFont="1" applyFill="1" applyBorder="1" applyAlignment="1">
      <alignment horizontal="right"/>
    </xf>
    <xf numFmtId="0" fontId="43" fillId="2" borderId="0" xfId="0" applyFont="1" applyFill="1" applyBorder="1" applyAlignment="1">
      <alignment horizontal="right"/>
    </xf>
    <xf numFmtId="0" fontId="18" fillId="2" borderId="7" xfId="2" applyFont="1" applyFill="1" applyBorder="1" applyAlignment="1">
      <alignment horizontal="right" vertical="center"/>
    </xf>
    <xf numFmtId="0" fontId="13" fillId="2" borderId="40" xfId="2" applyFont="1" applyFill="1" applyBorder="1" applyAlignment="1">
      <alignment horizontal="left"/>
    </xf>
    <xf numFmtId="0" fontId="18" fillId="2" borderId="14" xfId="2" applyNumberFormat="1" applyFont="1" applyFill="1" applyBorder="1" applyAlignment="1">
      <alignment horizontal="right"/>
    </xf>
    <xf numFmtId="0" fontId="18" fillId="2" borderId="40" xfId="0" applyFont="1" applyFill="1" applyBorder="1"/>
    <xf numFmtId="9" fontId="18" fillId="2" borderId="14" xfId="2" applyNumberFormat="1" applyFont="1" applyFill="1" applyBorder="1" applyAlignment="1">
      <alignment horizontal="right"/>
    </xf>
    <xf numFmtId="0" fontId="18" fillId="2" borderId="41" xfId="2" applyFont="1" applyFill="1" applyBorder="1" applyAlignment="1">
      <alignment horizontal="left"/>
    </xf>
    <xf numFmtId="0" fontId="18" fillId="2" borderId="50" xfId="2" applyFont="1" applyFill="1" applyBorder="1" applyAlignment="1">
      <alignment horizontal="right" vertical="center"/>
    </xf>
    <xf numFmtId="0" fontId="18" fillId="2" borderId="43" xfId="2" applyFont="1" applyFill="1" applyBorder="1" applyAlignment="1">
      <alignment horizontal="right" vertical="center"/>
    </xf>
    <xf numFmtId="9" fontId="18" fillId="2" borderId="45" xfId="0" applyNumberFormat="1" applyFont="1" applyFill="1" applyBorder="1" applyAlignment="1">
      <alignment horizontal="right"/>
    </xf>
    <xf numFmtId="0" fontId="18" fillId="2" borderId="42" xfId="0" applyFont="1" applyFill="1" applyBorder="1" applyAlignment="1">
      <alignment horizontal="right"/>
    </xf>
    <xf numFmtId="9" fontId="18" fillId="2" borderId="43" xfId="0" applyNumberFormat="1" applyFont="1" applyFill="1" applyBorder="1" applyAlignment="1">
      <alignment horizontal="right"/>
    </xf>
    <xf numFmtId="0" fontId="18" fillId="2" borderId="44" xfId="0" applyFont="1" applyFill="1" applyBorder="1" applyAlignment="1">
      <alignment horizontal="right"/>
    </xf>
    <xf numFmtId="9" fontId="18" fillId="2" borderId="42" xfId="0" applyNumberFormat="1" applyFont="1" applyFill="1" applyBorder="1" applyAlignment="1">
      <alignment horizontal="right"/>
    </xf>
    <xf numFmtId="0" fontId="18" fillId="2" borderId="43" xfId="0" applyFont="1" applyFill="1" applyBorder="1" applyAlignment="1">
      <alignment horizontal="right"/>
    </xf>
    <xf numFmtId="0" fontId="14" fillId="2" borderId="4" xfId="0" applyFont="1" applyFill="1" applyBorder="1"/>
    <xf numFmtId="0" fontId="43" fillId="2" borderId="0" xfId="2" applyFont="1" applyFill="1" applyBorder="1" applyAlignment="1">
      <alignment horizontal="left"/>
    </xf>
    <xf numFmtId="0" fontId="43" fillId="2" borderId="0" xfId="2" applyFont="1" applyFill="1" applyBorder="1" applyAlignment="1">
      <alignment horizontal="right" vertical="center"/>
    </xf>
    <xf numFmtId="0" fontId="14" fillId="0" borderId="0" xfId="0" applyFont="1" applyBorder="1"/>
    <xf numFmtId="1" fontId="43" fillId="2" borderId="0" xfId="0" applyNumberFormat="1" applyFont="1" applyFill="1" applyBorder="1" applyAlignment="1">
      <alignment horizontal="right"/>
    </xf>
    <xf numFmtId="0" fontId="43" fillId="2" borderId="5" xfId="0" applyNumberFormat="1" applyFont="1" applyFill="1" applyBorder="1" applyAlignment="1">
      <alignment horizontal="right"/>
    </xf>
    <xf numFmtId="1" fontId="43" fillId="2" borderId="0" xfId="2" applyNumberFormat="1" applyFont="1" applyFill="1" applyBorder="1" applyAlignment="1">
      <alignment horizontal="left"/>
    </xf>
    <xf numFmtId="0" fontId="19" fillId="7" borderId="33" xfId="2" applyFont="1" applyFill="1" applyBorder="1" applyAlignment="1"/>
    <xf numFmtId="9" fontId="18" fillId="2" borderId="46" xfId="2" applyNumberFormat="1" applyFont="1" applyFill="1" applyBorder="1" applyAlignment="1">
      <alignment horizontal="center" vertical="center"/>
    </xf>
    <xf numFmtId="9" fontId="18" fillId="2" borderId="47" xfId="2" applyNumberFormat="1" applyFont="1" applyFill="1" applyBorder="1" applyAlignment="1">
      <alignment horizontal="center" vertical="center"/>
    </xf>
    <xf numFmtId="9" fontId="18" fillId="2" borderId="35" xfId="2" applyNumberFormat="1" applyFont="1" applyFill="1" applyBorder="1" applyAlignment="1">
      <alignment horizontal="center" vertical="center"/>
    </xf>
    <xf numFmtId="9" fontId="18" fillId="2" borderId="48" xfId="2" applyNumberFormat="1" applyFont="1" applyFill="1" applyBorder="1" applyAlignment="1">
      <alignment horizontal="center" vertical="center"/>
    </xf>
    <xf numFmtId="9" fontId="23" fillId="2" borderId="0" xfId="2" applyNumberFormat="1" applyFont="1" applyFill="1" applyBorder="1" applyAlignment="1">
      <alignment horizontal="center" vertical="center"/>
    </xf>
    <xf numFmtId="9" fontId="43" fillId="2" borderId="0" xfId="2" applyNumberFormat="1" applyFont="1" applyFill="1" applyBorder="1" applyAlignment="1">
      <alignment horizontal="center" vertical="center"/>
    </xf>
    <xf numFmtId="9" fontId="43" fillId="2" borderId="5" xfId="2" applyNumberFormat="1" applyFont="1" applyFill="1" applyBorder="1" applyAlignment="1">
      <alignment vertical="center"/>
    </xf>
    <xf numFmtId="0" fontId="43" fillId="2" borderId="0" xfId="2" applyNumberFormat="1" applyFont="1" applyFill="1" applyBorder="1" applyAlignment="1">
      <alignment vertical="center"/>
    </xf>
    <xf numFmtId="0" fontId="19" fillId="7" borderId="14" xfId="2" applyFont="1" applyFill="1" applyBorder="1" applyAlignment="1">
      <alignment vertical="top" wrapText="1"/>
    </xf>
    <xf numFmtId="9" fontId="18" fillId="2" borderId="16" xfId="2" applyNumberFormat="1" applyFont="1" applyFill="1" applyBorder="1" applyAlignment="1">
      <alignment horizontal="center" vertical="center"/>
    </xf>
    <xf numFmtId="9" fontId="18" fillId="2" borderId="7" xfId="2" applyNumberFormat="1" applyFont="1" applyFill="1" applyBorder="1" applyAlignment="1">
      <alignment horizontal="center" vertical="center"/>
    </xf>
    <xf numFmtId="9" fontId="18" fillId="2" borderId="20" xfId="2" applyNumberFormat="1" applyFont="1" applyFill="1" applyBorder="1" applyAlignment="1">
      <alignment horizontal="center" vertical="center"/>
    </xf>
    <xf numFmtId="0" fontId="19" fillId="7" borderId="42" xfId="2" applyFont="1" applyFill="1" applyBorder="1" applyAlignment="1">
      <alignment vertical="top" wrapText="1"/>
    </xf>
    <xf numFmtId="9" fontId="18" fillId="2" borderId="49" xfId="2" applyNumberFormat="1" applyFont="1" applyFill="1" applyBorder="1" applyAlignment="1">
      <alignment horizontal="center" vertical="center"/>
    </xf>
    <xf numFmtId="9" fontId="18" fillId="2" borderId="50" xfId="2" applyNumberFormat="1" applyFont="1" applyFill="1" applyBorder="1" applyAlignment="1">
      <alignment horizontal="center" vertical="center"/>
    </xf>
    <xf numFmtId="9" fontId="18" fillId="2" borderId="44" xfId="2" applyNumberFormat="1" applyFont="1" applyFill="1" applyBorder="1" applyAlignment="1">
      <alignment horizontal="center" vertical="center"/>
    </xf>
    <xf numFmtId="9" fontId="18" fillId="2" borderId="56" xfId="2" applyNumberFormat="1" applyFont="1" applyFill="1" applyBorder="1" applyAlignment="1">
      <alignment horizontal="center" vertical="center"/>
    </xf>
    <xf numFmtId="0" fontId="43" fillId="2" borderId="5" xfId="2" applyFont="1" applyFill="1" applyBorder="1" applyAlignment="1">
      <alignment vertical="center"/>
    </xf>
    <xf numFmtId="0" fontId="43" fillId="2" borderId="18" xfId="2" applyNumberFormat="1" applyFont="1" applyFill="1" applyBorder="1" applyAlignment="1">
      <alignment horizontal="right"/>
    </xf>
    <xf numFmtId="0" fontId="43" fillId="2" borderId="0" xfId="2" applyNumberFormat="1" applyFont="1" applyFill="1" applyBorder="1" applyAlignment="1">
      <alignment horizontal="center" vertical="center"/>
    </xf>
    <xf numFmtId="0" fontId="43" fillId="2" borderId="0" xfId="2" applyNumberFormat="1" applyFont="1" applyFill="1" applyBorder="1" applyAlignment="1">
      <alignment horizontal="center" vertical="center"/>
    </xf>
    <xf numFmtId="0" fontId="43" fillId="0" borderId="0" xfId="2" applyNumberFormat="1" applyFont="1" applyFill="1" applyBorder="1" applyAlignment="1">
      <alignment horizontal="center" vertical="center"/>
    </xf>
    <xf numFmtId="0" fontId="43" fillId="2" borderId="25" xfId="2" applyNumberFormat="1" applyFont="1" applyFill="1" applyBorder="1" applyAlignment="1">
      <alignment horizontal="center" vertical="center"/>
    </xf>
    <xf numFmtId="0" fontId="43" fillId="2" borderId="5" xfId="0" applyFont="1" applyFill="1" applyBorder="1" applyAlignment="1">
      <alignment horizontal="right"/>
    </xf>
    <xf numFmtId="0" fontId="43" fillId="2" borderId="0" xfId="0" applyNumberFormat="1" applyFont="1" applyFill="1" applyBorder="1" applyAlignment="1">
      <alignment horizontal="right"/>
    </xf>
    <xf numFmtId="0" fontId="14" fillId="0" borderId="0" xfId="0" applyFont="1"/>
    <xf numFmtId="0" fontId="19" fillId="7" borderId="22" xfId="2" applyFont="1" applyFill="1" applyBorder="1" applyAlignment="1">
      <alignment vertical="center"/>
    </xf>
    <xf numFmtId="9" fontId="18" fillId="2" borderId="25" xfId="2" applyNumberFormat="1" applyFont="1" applyFill="1" applyBorder="1" applyAlignment="1">
      <alignment horizontal="center" vertical="center"/>
    </xf>
    <xf numFmtId="9" fontId="18" fillId="2" borderId="26" xfId="2" applyNumberFormat="1" applyFont="1" applyFill="1" applyBorder="1" applyAlignment="1">
      <alignment horizontal="center" vertical="center"/>
    </xf>
    <xf numFmtId="9" fontId="18" fillId="2" borderId="24" xfId="2" applyNumberFormat="1" applyFont="1" applyFill="1" applyBorder="1" applyAlignment="1">
      <alignment horizontal="center" vertical="center"/>
    </xf>
    <xf numFmtId="9" fontId="18" fillId="2" borderId="31" xfId="2" applyNumberFormat="1" applyFont="1" applyFill="1" applyBorder="1" applyAlignment="1">
      <alignment horizontal="center" vertical="center"/>
    </xf>
    <xf numFmtId="0" fontId="24" fillId="2" borderId="0" xfId="0" applyFont="1" applyFill="1" applyBorder="1"/>
    <xf numFmtId="0" fontId="17" fillId="7" borderId="6" xfId="0" applyFont="1" applyFill="1" applyBorder="1" applyAlignment="1">
      <alignment horizontal="left"/>
    </xf>
    <xf numFmtId="0" fontId="17" fillId="7" borderId="16" xfId="0" applyFont="1" applyFill="1" applyBorder="1" applyAlignment="1">
      <alignment horizontal="left"/>
    </xf>
    <xf numFmtId="0" fontId="17" fillId="7" borderId="7" xfId="0" applyFont="1" applyFill="1" applyBorder="1" applyAlignment="1">
      <alignment horizontal="left"/>
    </xf>
    <xf numFmtId="0" fontId="22" fillId="2" borderId="0" xfId="0" applyFont="1" applyFill="1" applyBorder="1" applyAlignment="1">
      <alignment horizontal="left"/>
    </xf>
    <xf numFmtId="0" fontId="29" fillId="2" borderId="0" xfId="0" applyFont="1" applyFill="1" applyBorder="1" applyAlignment="1">
      <alignment horizontal="left"/>
    </xf>
    <xf numFmtId="0" fontId="29" fillId="2" borderId="5" xfId="0" applyFont="1" applyFill="1" applyBorder="1" applyAlignment="1">
      <alignment horizontal="left"/>
    </xf>
    <xf numFmtId="0" fontId="18" fillId="2" borderId="10" xfId="0" applyFont="1" applyFill="1" applyBorder="1" applyAlignment="1"/>
    <xf numFmtId="9" fontId="18" fillId="2" borderId="16" xfId="0" applyNumberFormat="1" applyFont="1" applyFill="1" applyBorder="1" applyAlignment="1">
      <alignment horizontal="center"/>
    </xf>
    <xf numFmtId="9" fontId="18" fillId="2" borderId="7" xfId="0" applyNumberFormat="1" applyFont="1" applyFill="1" applyBorder="1" applyAlignment="1">
      <alignment horizontal="center"/>
    </xf>
    <xf numFmtId="9" fontId="18" fillId="2" borderId="6" xfId="0" applyNumberFormat="1" applyFont="1" applyFill="1" applyBorder="1" applyAlignment="1">
      <alignment horizontal="center"/>
    </xf>
    <xf numFmtId="9" fontId="23" fillId="2" borderId="0" xfId="0" applyNumberFormat="1" applyFont="1" applyFill="1" applyBorder="1" applyAlignment="1">
      <alignment horizontal="center"/>
    </xf>
    <xf numFmtId="9" fontId="43" fillId="2" borderId="0" xfId="0" applyNumberFormat="1" applyFont="1" applyFill="1" applyBorder="1" applyAlignment="1">
      <alignment horizontal="center"/>
    </xf>
    <xf numFmtId="9" fontId="43" fillId="2" borderId="5" xfId="0" applyNumberFormat="1" applyFont="1" applyFill="1" applyBorder="1" applyAlignment="1">
      <alignment horizontal="center"/>
    </xf>
    <xf numFmtId="0" fontId="18" fillId="2" borderId="16" xfId="0" applyFont="1" applyFill="1" applyBorder="1" applyAlignment="1">
      <alignment horizontal="center"/>
    </xf>
    <xf numFmtId="0" fontId="18" fillId="2" borderId="7" xfId="0" applyFont="1" applyFill="1" applyBorder="1" applyAlignment="1">
      <alignment horizontal="center"/>
    </xf>
    <xf numFmtId="0" fontId="23" fillId="2" borderId="0" xfId="0" applyFont="1" applyFill="1" applyBorder="1" applyAlignment="1">
      <alignment horizontal="center"/>
    </xf>
    <xf numFmtId="0" fontId="47" fillId="2" borderId="0" xfId="0" applyFont="1" applyFill="1" applyBorder="1" applyAlignment="1">
      <alignment horizontal="center"/>
    </xf>
    <xf numFmtId="0" fontId="47" fillId="2" borderId="5" xfId="0" applyFont="1" applyFill="1" applyBorder="1" applyAlignment="1">
      <alignment horizontal="center"/>
    </xf>
    <xf numFmtId="0" fontId="36" fillId="2" borderId="0" xfId="0" applyFont="1" applyFill="1" applyAlignment="1">
      <alignment horizontal="left"/>
    </xf>
    <xf numFmtId="0" fontId="36" fillId="2" borderId="5" xfId="0" applyFont="1" applyFill="1" applyBorder="1"/>
    <xf numFmtId="0" fontId="13" fillId="2" borderId="17" xfId="0" applyFont="1" applyFill="1" applyBorder="1"/>
    <xf numFmtId="0" fontId="13" fillId="2" borderId="18" xfId="0" applyFont="1" applyFill="1" applyBorder="1"/>
    <xf numFmtId="0" fontId="24" fillId="2" borderId="18" xfId="0" applyFont="1" applyFill="1" applyBorder="1"/>
    <xf numFmtId="0" fontId="14" fillId="2" borderId="19" xfId="0" applyFont="1" applyFill="1" applyBorder="1"/>
  </cellXfs>
  <cellStyles count="3">
    <cellStyle name="Heading 1" xfId="2" builtinId="16"/>
    <cellStyle name="Normal" xfId="0" builtinId="0"/>
    <cellStyle name="Percent" xfId="1" builtinId="5"/>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78937007874014"/>
          <c:y val="0.22364279686278155"/>
          <c:w val="0.77787729658792648"/>
          <c:h val="0.60067451745522948"/>
        </c:manualLayout>
      </c:layout>
      <c:barChart>
        <c:barDir val="col"/>
        <c:grouping val="stacked"/>
        <c:varyColors val="0"/>
        <c:ser>
          <c:idx val="0"/>
          <c:order val="0"/>
          <c:tx>
            <c:strRef>
              <c:f>Dashboard!$C$29</c:f>
              <c:strCache>
                <c:ptCount val="1"/>
                <c:pt idx="0">
                  <c:v>Advisors achieving 95% or above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Dashboard!$D$11:$O$11</c15:sqref>
                  </c15:fullRef>
                </c:ext>
              </c:extLst>
              <c:f>(Dashboard!$D$11,Dashboard!$G$11,Dashboard!$J$11,Dashboard!$M$11)</c:f>
              <c:strCache>
                <c:ptCount val="4"/>
                <c:pt idx="0">
                  <c:v>Week 1</c:v>
                </c:pt>
                <c:pt idx="1">
                  <c:v>Week 2</c:v>
                </c:pt>
                <c:pt idx="2">
                  <c:v>Week 3</c:v>
                </c:pt>
                <c:pt idx="3">
                  <c:v>Week 4</c:v>
                </c:pt>
              </c:strCache>
            </c:strRef>
          </c:cat>
          <c:val>
            <c:numRef>
              <c:extLst>
                <c:ext xmlns:c15="http://schemas.microsoft.com/office/drawing/2012/chart" uri="{02D57815-91ED-43cb-92C2-25804820EDAC}">
                  <c15:fullRef>
                    <c15:sqref>Dashboard!$D$29:$O$29</c15:sqref>
                  </c15:fullRef>
                </c:ext>
              </c:extLst>
              <c:f>(Dashboard!$D$29,Dashboard!$G$29,Dashboard!$J$29,Dashboard!$M$29)</c:f>
              <c:numCache>
                <c:formatCode>0%</c:formatCode>
                <c:ptCount val="4"/>
                <c:pt idx="0">
                  <c:v>0</c:v>
                </c:pt>
                <c:pt idx="1">
                  <c:v>0</c:v>
                </c:pt>
                <c:pt idx="2">
                  <c:v>0</c:v>
                </c:pt>
                <c:pt idx="3">
                  <c:v>0</c:v>
                </c:pt>
              </c:numCache>
            </c:numRef>
          </c:val>
        </c:ser>
        <c:ser>
          <c:idx val="1"/>
          <c:order val="1"/>
          <c:tx>
            <c:strRef>
              <c:f>Dashboard!$C$30</c:f>
              <c:strCache>
                <c:ptCount val="1"/>
                <c:pt idx="0">
                  <c:v>Advisors achieving below 95%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Dashboard!$D$11:$O$11</c15:sqref>
                  </c15:fullRef>
                </c:ext>
              </c:extLst>
              <c:f>(Dashboard!$D$11,Dashboard!$G$11,Dashboard!$J$11,Dashboard!$M$11)</c:f>
              <c:strCache>
                <c:ptCount val="4"/>
                <c:pt idx="0">
                  <c:v>Week 1</c:v>
                </c:pt>
                <c:pt idx="1">
                  <c:v>Week 2</c:v>
                </c:pt>
                <c:pt idx="2">
                  <c:v>Week 3</c:v>
                </c:pt>
                <c:pt idx="3">
                  <c:v>Week 4</c:v>
                </c:pt>
              </c:strCache>
            </c:strRef>
          </c:cat>
          <c:val>
            <c:numRef>
              <c:extLst>
                <c:ext xmlns:c15="http://schemas.microsoft.com/office/drawing/2012/chart" uri="{02D57815-91ED-43cb-92C2-25804820EDAC}">
                  <c15:fullRef>
                    <c15:sqref>Dashboard!$D$30:$O$30</c15:sqref>
                  </c15:fullRef>
                </c:ext>
              </c:extLst>
              <c:f>(Dashboard!$D$30,Dashboard!$G$30,Dashboard!$J$30,Dashboard!$M$30)</c:f>
              <c:numCache>
                <c:formatCode>0%</c:formatCode>
                <c:ptCount val="4"/>
                <c:pt idx="0">
                  <c:v>0</c:v>
                </c:pt>
                <c:pt idx="1">
                  <c:v>1</c:v>
                </c:pt>
                <c:pt idx="2">
                  <c:v>0</c:v>
                </c:pt>
                <c:pt idx="3">
                  <c:v>0</c:v>
                </c:pt>
              </c:numCache>
            </c:numRef>
          </c:val>
        </c:ser>
        <c:dLbls>
          <c:showLegendKey val="0"/>
          <c:showVal val="0"/>
          <c:showCatName val="0"/>
          <c:showSerName val="0"/>
          <c:showPercent val="0"/>
          <c:showBubbleSize val="0"/>
        </c:dLbls>
        <c:gapWidth val="150"/>
        <c:overlap val="100"/>
        <c:axId val="117220352"/>
        <c:axId val="117220912"/>
      </c:barChart>
      <c:catAx>
        <c:axId val="1172203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7220912"/>
        <c:crosses val="autoZero"/>
        <c:auto val="1"/>
        <c:lblAlgn val="ctr"/>
        <c:lblOffset val="100"/>
        <c:noMultiLvlLbl val="0"/>
      </c:catAx>
      <c:valAx>
        <c:axId val="11722091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72203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84357174163987"/>
          <c:y val="0.169071194728906"/>
          <c:w val="0.87552261214214733"/>
          <c:h val="0.64768887135718034"/>
        </c:manualLayout>
      </c:layout>
      <c:lineChart>
        <c:grouping val="standard"/>
        <c:varyColors val="0"/>
        <c:ser>
          <c:idx val="0"/>
          <c:order val="0"/>
          <c:tx>
            <c:strRef>
              <c:f>Dashboard!$C$32</c:f>
              <c:strCache>
                <c:ptCount val="1"/>
                <c:pt idx="0">
                  <c:v>Weekly minimum QC achieved</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Lbl>
              <c:idx val="0"/>
              <c:layout>
                <c:manualLayout>
                  <c:x val="-7.6796538772514827E-2"/>
                  <c:y val="1.269539766069812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4.6477850399419027E-2"/>
                  <c:y val="-4.7713707734963966E-2"/>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Dashboard!$D$11:$O$11</c15:sqref>
                  </c15:fullRef>
                </c:ext>
              </c:extLst>
              <c:f>(Dashboard!$D$11,Dashboard!$G$11,Dashboard!$J$11,Dashboard!$M$11)</c:f>
              <c:strCache>
                <c:ptCount val="4"/>
                <c:pt idx="0">
                  <c:v>Week 1</c:v>
                </c:pt>
                <c:pt idx="1">
                  <c:v>Week 2</c:v>
                </c:pt>
                <c:pt idx="2">
                  <c:v>Week 3</c:v>
                </c:pt>
                <c:pt idx="3">
                  <c:v>Week 4</c:v>
                </c:pt>
              </c:strCache>
            </c:strRef>
          </c:cat>
          <c:val>
            <c:numRef>
              <c:extLst>
                <c:ext xmlns:c15="http://schemas.microsoft.com/office/drawing/2012/chart" uri="{02D57815-91ED-43cb-92C2-25804820EDAC}">
                  <c15:fullRef>
                    <c15:sqref>Dashboard!$D$32:$O$32</c15:sqref>
                  </c15:fullRef>
                </c:ext>
              </c:extLst>
              <c:f>(Dashboard!$D$32,Dashboard!$G$32,Dashboard!$J$32,Dashboard!$M$32)</c:f>
              <c:numCache>
                <c:formatCode>0%</c:formatCode>
                <c:ptCount val="4"/>
                <c:pt idx="0">
                  <c:v>0</c:v>
                </c:pt>
                <c:pt idx="1">
                  <c:v>0</c:v>
                </c:pt>
                <c:pt idx="2">
                  <c:v>0</c:v>
                </c:pt>
                <c:pt idx="3">
                  <c:v>1</c:v>
                </c:pt>
              </c:numCache>
            </c:numRef>
          </c:val>
          <c:smooth val="0"/>
          <c:extLst>
            <c:ext xmlns:c15="http://schemas.microsoft.com/office/drawing/2012/chart" uri="{02D57815-91ED-43cb-92C2-25804820EDAC}">
              <c15:categoryFilterExceptions>
                <c15:categoryFilterException>
                  <c15:sqref>Dashboard!$I$32</c15:sqref>
                  <c15:dLbl>
                    <c:idx val="1"/>
                    <c:layout>
                      <c:manualLayout>
                        <c:x val="5.3502017704948387E-3"/>
                        <c:y val="-0.11893095377926606"/>
                      </c:manualLayout>
                    </c:layout>
                    <c:showLegendKey val="0"/>
                    <c:showVal val="1"/>
                    <c:showCatName val="0"/>
                    <c:showSerName val="0"/>
                    <c:showPercent val="0"/>
                    <c:showBubbleSize val="0"/>
                    <c:extLst>
                      <c:ext uri="{CE6537A1-D6FC-4f65-9D91-7224C49458BB}"/>
                    </c:extLst>
                  </c15:dLbl>
                </c15:categoryFilterException>
              </c15:categoryFilterExceptions>
            </c:ext>
          </c:extLst>
        </c:ser>
        <c:ser>
          <c:idx val="1"/>
          <c:order val="1"/>
          <c:tx>
            <c:strRef>
              <c:f>Dashboard!$C$28</c:f>
              <c:strCache>
                <c:ptCount val="1"/>
                <c:pt idx="0">
                  <c:v>Average team QC score </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Lbls>
            <c:dLbl>
              <c:idx val="2"/>
              <c:layout>
                <c:manualLayout>
                  <c:x val="-6.2490489576132451E-2"/>
                  <c:y val="2.9040641272239244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2">
                        <a:lumMod val="20000"/>
                        <a:lumOff val="8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Dashboard!$D$11:$O$11</c15:sqref>
                  </c15:fullRef>
                </c:ext>
              </c:extLst>
              <c:f>(Dashboard!$D$11,Dashboard!$G$11,Dashboard!$J$11,Dashboard!$M$11)</c:f>
              <c:strCache>
                <c:ptCount val="4"/>
                <c:pt idx="0">
                  <c:v>Week 1</c:v>
                </c:pt>
                <c:pt idx="1">
                  <c:v>Week 2</c:v>
                </c:pt>
                <c:pt idx="2">
                  <c:v>Week 3</c:v>
                </c:pt>
                <c:pt idx="3">
                  <c:v>Week 4</c:v>
                </c:pt>
              </c:strCache>
            </c:strRef>
          </c:cat>
          <c:val>
            <c:numRef>
              <c:extLst>
                <c:ext xmlns:c15="http://schemas.microsoft.com/office/drawing/2012/chart" uri="{02D57815-91ED-43cb-92C2-25804820EDAC}">
                  <c15:fullRef>
                    <c15:sqref>Dashboard!$D$28:$O$28</c15:sqref>
                  </c15:fullRef>
                </c:ext>
              </c:extLst>
              <c:f>(Dashboard!$D$28,Dashboard!$G$28,Dashboard!$J$28,Dashboard!$M$28)</c:f>
              <c:numCache>
                <c:formatCode>0%</c:formatCode>
                <c:ptCount val="4"/>
                <c:pt idx="0">
                  <c:v>0</c:v>
                </c:pt>
                <c:pt idx="1">
                  <c:v>0</c:v>
                </c:pt>
                <c:pt idx="2">
                  <c:v>0</c:v>
                </c:pt>
                <c:pt idx="3">
                  <c:v>0</c:v>
                </c:pt>
              </c:numCache>
            </c:numRef>
          </c:val>
          <c:smooth val="0"/>
        </c:ser>
        <c:dLbls>
          <c:showLegendKey val="0"/>
          <c:showVal val="0"/>
          <c:showCatName val="0"/>
          <c:showSerName val="0"/>
          <c:showPercent val="0"/>
          <c:showBubbleSize val="0"/>
        </c:dLbls>
        <c:smooth val="0"/>
        <c:axId val="188916880"/>
        <c:axId val="188917440"/>
      </c:lineChart>
      <c:catAx>
        <c:axId val="188916880"/>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8917440"/>
        <c:crosses val="autoZero"/>
        <c:auto val="1"/>
        <c:lblAlgn val="ctr"/>
        <c:lblOffset val="100"/>
        <c:noMultiLvlLbl val="0"/>
      </c:catAx>
      <c:valAx>
        <c:axId val="1889174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8916880"/>
        <c:crosses val="autoZero"/>
        <c:crossBetween val="between"/>
      </c:valAx>
      <c:spPr>
        <a:noFill/>
        <a:ln>
          <a:noFill/>
        </a:ln>
        <a:effectLst/>
      </c:spPr>
    </c:plotArea>
    <c:legend>
      <c:legendPos val="r"/>
      <c:layout>
        <c:manualLayout>
          <c:xMode val="edge"/>
          <c:yMode val="edge"/>
          <c:x val="7.4044699751311237E-3"/>
          <c:y val="0.87000509320858865"/>
          <c:w val="0.96638034856787813"/>
          <c:h val="0.126496780582492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438150</xdr:colOff>
          <xdr:row>5</xdr:row>
          <xdr:rowOff>66675</xdr:rowOff>
        </xdr:from>
        <xdr:to>
          <xdr:col>5</xdr:col>
          <xdr:colOff>152400</xdr:colOff>
          <xdr:row>6</xdr:row>
          <xdr:rowOff>180975</xdr:rowOff>
        </xdr:to>
        <xdr:sp macro="" textlink="">
          <xdr:nvSpPr>
            <xdr:cNvPr id="11302" name="Button 38" hidden="1">
              <a:extLst>
                <a:ext uri="{63B3BB69-23CF-44E3-9099-C40C66FF867C}">
                  <a14:compatExt spid="_x0000_s1130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123825</xdr:colOff>
          <xdr:row>5</xdr:row>
          <xdr:rowOff>66675</xdr:rowOff>
        </xdr:from>
        <xdr:to>
          <xdr:col>7</xdr:col>
          <xdr:colOff>447675</xdr:colOff>
          <xdr:row>6</xdr:row>
          <xdr:rowOff>161925</xdr:rowOff>
        </xdr:to>
        <xdr:sp macro="" textlink="">
          <xdr:nvSpPr>
            <xdr:cNvPr id="11303" name="Button 39" hidden="1">
              <a:extLst>
                <a:ext uri="{63B3BB69-23CF-44E3-9099-C40C66FF867C}">
                  <a14:compatExt spid="_x0000_s1130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0" i="0" u="none" strike="noStrike" baseline="0">
                  <a:solidFill>
                    <a:srgbClr val="000000"/>
                  </a:solidFill>
                  <a:latin typeface="Calibri"/>
                </a:rPr>
                <a:t>Submit</a:t>
              </a:r>
            </a:p>
          </xdr:txBody>
        </xdr:sp>
        <xdr:clientData fPrintsWithSheet="0"/>
      </xdr:twoCellAnchor>
    </mc:Choice>
    <mc:Fallback/>
  </mc:AlternateContent>
  <xdr:twoCellAnchor editAs="oneCell">
    <xdr:from>
      <xdr:col>6</xdr:col>
      <xdr:colOff>353787</xdr:colOff>
      <xdr:row>1</xdr:row>
      <xdr:rowOff>68035</xdr:rowOff>
    </xdr:from>
    <xdr:to>
      <xdr:col>9</xdr:col>
      <xdr:colOff>493033</xdr:colOff>
      <xdr:row>3</xdr:row>
      <xdr:rowOff>141423</xdr:rowOff>
    </xdr:to>
    <xdr:pic>
      <xdr:nvPicPr>
        <xdr:cNvPr id="5" name="Picture 4"/>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34501" y="272142"/>
          <a:ext cx="2193925" cy="6584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447675</xdr:colOff>
          <xdr:row>5</xdr:row>
          <xdr:rowOff>9525</xdr:rowOff>
        </xdr:from>
        <xdr:to>
          <xdr:col>6</xdr:col>
          <xdr:colOff>190500</xdr:colOff>
          <xdr:row>6</xdr:row>
          <xdr:rowOff>180975</xdr:rowOff>
        </xdr:to>
        <xdr:sp macro="" textlink="">
          <xdr:nvSpPr>
            <xdr:cNvPr id="1056" name="Button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4</xdr:row>
          <xdr:rowOff>190500</xdr:rowOff>
        </xdr:from>
        <xdr:to>
          <xdr:col>8</xdr:col>
          <xdr:colOff>581025</xdr:colOff>
          <xdr:row>6</xdr:row>
          <xdr:rowOff>190500</xdr:rowOff>
        </xdr:to>
        <xdr:sp macro="" textlink="">
          <xdr:nvSpPr>
            <xdr:cNvPr id="1057" name="Button 33" hidden="1">
              <a:extLst>
                <a:ext uri="{63B3BB69-23CF-44E3-9099-C40C66FF867C}">
                  <a14:compatExt spid="_x0000_s105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0" i="0" u="none" strike="noStrike" baseline="0">
                  <a:solidFill>
                    <a:srgbClr val="000000"/>
                  </a:solidFill>
                  <a:latin typeface="Calibri"/>
                </a:rPr>
                <a:t>Submit</a:t>
              </a:r>
            </a:p>
          </xdr:txBody>
        </xdr:sp>
        <xdr:clientData fPrintsWithSheet="0"/>
      </xdr:twoCellAnchor>
    </mc:Choice>
    <mc:Fallback/>
  </mc:AlternateContent>
  <xdr:twoCellAnchor editAs="oneCell">
    <xdr:from>
      <xdr:col>1</xdr:col>
      <xdr:colOff>112059</xdr:colOff>
      <xdr:row>1</xdr:row>
      <xdr:rowOff>78442</xdr:rowOff>
    </xdr:from>
    <xdr:to>
      <xdr:col>3</xdr:col>
      <xdr:colOff>1353484</xdr:colOff>
      <xdr:row>4</xdr:row>
      <xdr:rowOff>8555</xdr:rowOff>
    </xdr:to>
    <xdr:pic>
      <xdr:nvPicPr>
        <xdr:cNvPr id="5" name="Picture 4"/>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8030" y="268942"/>
          <a:ext cx="2193925" cy="6584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247650</xdr:colOff>
          <xdr:row>5</xdr:row>
          <xdr:rowOff>171450</xdr:rowOff>
        </xdr:from>
        <xdr:to>
          <xdr:col>6</xdr:col>
          <xdr:colOff>133350</xdr:colOff>
          <xdr:row>7</xdr:row>
          <xdr:rowOff>257175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5</xdr:row>
          <xdr:rowOff>171450</xdr:rowOff>
        </xdr:from>
        <xdr:to>
          <xdr:col>9</xdr:col>
          <xdr:colOff>123825</xdr:colOff>
          <xdr:row>8</xdr:row>
          <xdr:rowOff>9525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0" i="0" u="none" strike="noStrike" baseline="0">
                  <a:solidFill>
                    <a:srgbClr val="000000"/>
                  </a:solidFill>
                  <a:latin typeface="Calibri"/>
                </a:rPr>
                <a:t>Submit</a:t>
              </a:r>
            </a:p>
          </xdr:txBody>
        </xdr:sp>
        <xdr:clientData fPrintsWithSheet="0"/>
      </xdr:twoCellAnchor>
    </mc:Choice>
    <mc:Fallback/>
  </mc:AlternateContent>
  <xdr:twoCellAnchor editAs="oneCell">
    <xdr:from>
      <xdr:col>1</xdr:col>
      <xdr:colOff>258536</xdr:colOff>
      <xdr:row>2</xdr:row>
      <xdr:rowOff>204107</xdr:rowOff>
    </xdr:from>
    <xdr:to>
      <xdr:col>3</xdr:col>
      <xdr:colOff>778782</xdr:colOff>
      <xdr:row>4</xdr:row>
      <xdr:rowOff>277495</xdr:rowOff>
    </xdr:to>
    <xdr:pic>
      <xdr:nvPicPr>
        <xdr:cNvPr id="5" name="Picture 4"/>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0857" y="598714"/>
          <a:ext cx="2193925"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15</xdr:col>
      <xdr:colOff>213290</xdr:colOff>
      <xdr:row>8</xdr:row>
      <xdr:rowOff>236423</xdr:rowOff>
    </xdr:from>
    <xdr:to>
      <xdr:col>19</xdr:col>
      <xdr:colOff>301057</xdr:colOff>
      <xdr:row>23</xdr:row>
      <xdr:rowOff>81642</xdr:rowOff>
    </xdr:to>
    <xdr:grpSp>
      <xdr:nvGrpSpPr>
        <xdr:cNvPr id="2" name="Group 1"/>
        <xdr:cNvGrpSpPr/>
      </xdr:nvGrpSpPr>
      <xdr:grpSpPr>
        <a:xfrm>
          <a:off x="14283076" y="2386352"/>
          <a:ext cx="4523695" cy="2934040"/>
          <a:chOff x="12119542" y="2454387"/>
          <a:chExt cx="4523695" cy="2934041"/>
        </a:xfrm>
      </xdr:grpSpPr>
      <xdr:graphicFrame macro="">
        <xdr:nvGraphicFramePr>
          <xdr:cNvPr id="3" name="Chart 2"/>
          <xdr:cNvGraphicFramePr>
            <a:graphicFrameLocks/>
          </xdr:cNvGraphicFramePr>
        </xdr:nvGraphicFramePr>
        <xdr:xfrm>
          <a:off x="12119542" y="2454387"/>
          <a:ext cx="4523695" cy="2934041"/>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TextBox 3"/>
          <xdr:cNvSpPr txBox="1"/>
        </xdr:nvSpPr>
        <xdr:spPr>
          <a:xfrm>
            <a:off x="13177498" y="2583655"/>
            <a:ext cx="2389414" cy="425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1" u="sng">
                <a:solidFill>
                  <a:schemeClr val="bg1"/>
                </a:solidFill>
              </a:rPr>
              <a:t>Quality</a:t>
            </a:r>
            <a:r>
              <a:rPr lang="en-GB" sz="1400" b="1" u="sng" baseline="0">
                <a:solidFill>
                  <a:schemeClr val="bg1"/>
                </a:solidFill>
              </a:rPr>
              <a:t> Performance </a:t>
            </a:r>
            <a:endParaRPr lang="en-GB" sz="1400" b="1" u="sng">
              <a:solidFill>
                <a:schemeClr val="bg1"/>
              </a:solidFill>
            </a:endParaRPr>
          </a:p>
        </xdr:txBody>
      </xdr:sp>
    </xdr:grpSp>
    <xdr:clientData/>
  </xdr:twoCellAnchor>
  <xdr:twoCellAnchor>
    <xdr:from>
      <xdr:col>15</xdr:col>
      <xdr:colOff>213179</xdr:colOff>
      <xdr:row>23</xdr:row>
      <xdr:rowOff>172357</xdr:rowOff>
    </xdr:from>
    <xdr:to>
      <xdr:col>19</xdr:col>
      <xdr:colOff>292033</xdr:colOff>
      <xdr:row>37</xdr:row>
      <xdr:rowOff>61231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217714</xdr:colOff>
      <xdr:row>1</xdr:row>
      <xdr:rowOff>108858</xdr:rowOff>
    </xdr:from>
    <xdr:to>
      <xdr:col>2</xdr:col>
      <xdr:colOff>2030639</xdr:colOff>
      <xdr:row>2</xdr:row>
      <xdr:rowOff>182246</xdr:rowOff>
    </xdr:to>
    <xdr:pic>
      <xdr:nvPicPr>
        <xdr:cNvPr id="7" name="Picture 6"/>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0035" y="299358"/>
          <a:ext cx="2193925" cy="65849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P71"/>
  <sheetViews>
    <sheetView zoomScale="70" zoomScaleNormal="70" workbookViewId="0">
      <selection activeCell="O15" sqref="O15"/>
    </sheetView>
  </sheetViews>
  <sheetFormatPr defaultRowHeight="14.25" x14ac:dyDescent="0.2"/>
  <cols>
    <col min="1" max="1" width="10.28515625" style="179" customWidth="1"/>
    <col min="2" max="2" width="5.5703125" style="179" customWidth="1"/>
    <col min="3" max="3" width="90.140625" style="179" customWidth="1"/>
    <col min="4" max="4" width="9.42578125" style="180" customWidth="1"/>
    <col min="5" max="5" width="10" style="180" customWidth="1"/>
    <col min="6" max="6" width="9.42578125" style="180" customWidth="1"/>
    <col min="7" max="7" width="9.140625" style="180"/>
    <col min="8" max="8" width="11.140625" style="180" customWidth="1"/>
    <col min="9" max="9" width="10.42578125" style="180" customWidth="1"/>
    <col min="10" max="10" width="10" style="181" customWidth="1"/>
    <col min="11" max="16384" width="9.140625" style="179"/>
  </cols>
  <sheetData>
    <row r="1" spans="1:12" ht="15" thickBot="1" x14ac:dyDescent="0.25"/>
    <row r="2" spans="1:12" ht="24" customHeight="1" x14ac:dyDescent="0.2">
      <c r="A2" s="182" t="s">
        <v>157</v>
      </c>
      <c r="B2" s="183"/>
      <c r="C2" s="183"/>
      <c r="D2" s="184"/>
      <c r="E2" s="184"/>
      <c r="F2" s="184"/>
      <c r="G2" s="184"/>
      <c r="H2" s="184"/>
      <c r="I2" s="184"/>
      <c r="J2" s="185"/>
    </row>
    <row r="3" spans="1:12" ht="22.5" x14ac:dyDescent="0.3">
      <c r="A3" s="186"/>
      <c r="B3" s="187" t="s">
        <v>131</v>
      </c>
      <c r="C3" s="187"/>
      <c r="D3" s="187"/>
      <c r="E3" s="187"/>
      <c r="F3" s="187"/>
      <c r="G3" s="187"/>
      <c r="H3" s="187"/>
      <c r="I3" s="187"/>
      <c r="J3" s="188"/>
      <c r="L3" s="189"/>
    </row>
    <row r="4" spans="1:12" x14ac:dyDescent="0.2">
      <c r="A4" s="186"/>
      <c r="B4" s="190"/>
      <c r="C4" s="190"/>
      <c r="D4" s="191"/>
      <c r="E4" s="191"/>
      <c r="F4" s="191"/>
      <c r="G4" s="191"/>
      <c r="H4" s="191"/>
      <c r="I4" s="191"/>
      <c r="J4" s="188"/>
    </row>
    <row r="5" spans="1:12" ht="15" x14ac:dyDescent="0.2">
      <c r="A5" s="192"/>
      <c r="B5" s="193"/>
      <c r="C5" s="194"/>
      <c r="D5" s="195"/>
      <c r="E5" s="195"/>
      <c r="F5" s="195"/>
      <c r="G5" s="144"/>
      <c r="H5" s="144"/>
      <c r="I5" s="144"/>
      <c r="J5" s="188"/>
    </row>
    <row r="6" spans="1:12" ht="24.75" customHeight="1" x14ac:dyDescent="0.2">
      <c r="A6" s="196" t="s">
        <v>1</v>
      </c>
      <c r="B6" s="197"/>
      <c r="C6" s="198"/>
      <c r="D6" s="195"/>
      <c r="E6" s="195"/>
      <c r="F6" s="195"/>
      <c r="G6" s="144"/>
      <c r="H6" s="144"/>
      <c r="I6" s="144"/>
      <c r="J6" s="188"/>
    </row>
    <row r="7" spans="1:12" ht="15" x14ac:dyDescent="0.2">
      <c r="A7" s="199"/>
      <c r="B7" s="200"/>
      <c r="C7" s="194"/>
      <c r="D7" s="195"/>
      <c r="E7" s="195"/>
      <c r="F7" s="195"/>
      <c r="G7" s="144"/>
      <c r="H7" s="144"/>
      <c r="I7" s="144"/>
      <c r="J7" s="188"/>
    </row>
    <row r="8" spans="1:12" ht="25.5" customHeight="1" x14ac:dyDescent="0.2">
      <c r="A8" s="196" t="s">
        <v>2</v>
      </c>
      <c r="B8" s="197"/>
      <c r="C8" s="201"/>
      <c r="D8" s="195"/>
      <c r="E8" s="195"/>
      <c r="F8" s="195"/>
      <c r="G8" s="144"/>
      <c r="H8" s="144"/>
      <c r="I8" s="144"/>
      <c r="J8" s="188"/>
    </row>
    <row r="9" spans="1:12" ht="15" x14ac:dyDescent="0.2">
      <c r="A9" s="199"/>
      <c r="B9" s="200"/>
      <c r="C9" s="202"/>
      <c r="D9" s="195"/>
      <c r="E9" s="195"/>
      <c r="F9" s="195"/>
      <c r="G9" s="144"/>
      <c r="H9" s="144"/>
      <c r="I9" s="144"/>
      <c r="J9" s="188"/>
    </row>
    <row r="10" spans="1:12" ht="24.75" customHeight="1" x14ac:dyDescent="0.2">
      <c r="A10" s="203" t="s">
        <v>31</v>
      </c>
      <c r="B10" s="204"/>
      <c r="C10" s="205"/>
      <c r="D10" s="195"/>
      <c r="E10" s="195"/>
      <c r="F10" s="195"/>
      <c r="G10" s="144"/>
      <c r="H10" s="144"/>
      <c r="I10" s="144"/>
      <c r="J10" s="188"/>
    </row>
    <row r="11" spans="1:12" ht="22.5" x14ac:dyDescent="0.3">
      <c r="A11" s="192"/>
      <c r="B11" s="206"/>
      <c r="C11" s="206"/>
      <c r="D11" s="195"/>
      <c r="E11" s="195"/>
      <c r="F11" s="195"/>
      <c r="G11" s="144"/>
      <c r="H11" s="144"/>
      <c r="I11" s="144"/>
      <c r="J11" s="188"/>
    </row>
    <row r="12" spans="1:12" ht="15" x14ac:dyDescent="0.2">
      <c r="A12" s="192"/>
      <c r="B12" s="207"/>
      <c r="C12" s="116" t="s">
        <v>245</v>
      </c>
      <c r="D12" s="118" t="s">
        <v>3</v>
      </c>
      <c r="E12" s="118" t="s">
        <v>4</v>
      </c>
      <c r="F12" s="119" t="s">
        <v>5</v>
      </c>
      <c r="G12" s="118" t="s">
        <v>6</v>
      </c>
      <c r="H12" s="118" t="s">
        <v>7</v>
      </c>
      <c r="I12" s="120" t="s">
        <v>8</v>
      </c>
      <c r="J12" s="188"/>
    </row>
    <row r="13" spans="1:12" ht="15" x14ac:dyDescent="0.2">
      <c r="A13" s="192"/>
      <c r="B13" s="208">
        <v>1</v>
      </c>
      <c r="C13" s="209" t="s">
        <v>132</v>
      </c>
      <c r="D13" s="210"/>
      <c r="E13" s="210"/>
      <c r="F13" s="211"/>
      <c r="G13" s="210"/>
      <c r="H13" s="212"/>
      <c r="I13" s="210"/>
      <c r="J13" s="188"/>
    </row>
    <row r="14" spans="1:12" ht="15" x14ac:dyDescent="0.2">
      <c r="A14" s="192"/>
      <c r="B14" s="213">
        <v>2</v>
      </c>
      <c r="C14" s="214" t="s">
        <v>133</v>
      </c>
      <c r="D14" s="210"/>
      <c r="E14" s="210"/>
      <c r="F14" s="211"/>
      <c r="G14" s="210"/>
      <c r="H14" s="212"/>
      <c r="I14" s="210"/>
      <c r="J14" s="188"/>
    </row>
    <row r="15" spans="1:12" ht="15" x14ac:dyDescent="0.2">
      <c r="A15" s="192"/>
      <c r="B15" s="213">
        <v>3</v>
      </c>
      <c r="C15" s="214" t="s">
        <v>156</v>
      </c>
      <c r="D15" s="210"/>
      <c r="E15" s="210"/>
      <c r="F15" s="211"/>
      <c r="G15" s="210"/>
      <c r="H15" s="212"/>
      <c r="I15" s="210"/>
      <c r="J15" s="188"/>
    </row>
    <row r="16" spans="1:12" ht="15" x14ac:dyDescent="0.2">
      <c r="A16" s="192"/>
      <c r="B16" s="215">
        <v>4</v>
      </c>
      <c r="C16" s="216" t="s">
        <v>134</v>
      </c>
      <c r="D16" s="210"/>
      <c r="E16" s="210"/>
      <c r="F16" s="211"/>
      <c r="G16" s="210"/>
      <c r="H16" s="212"/>
      <c r="I16" s="210"/>
      <c r="J16" s="188"/>
    </row>
    <row r="17" spans="1:10" ht="15" x14ac:dyDescent="0.2">
      <c r="A17" s="192"/>
      <c r="B17" s="217"/>
      <c r="C17" s="218"/>
      <c r="D17" s="219"/>
      <c r="E17" s="219"/>
      <c r="F17" s="219"/>
      <c r="G17" s="219"/>
      <c r="H17" s="219"/>
      <c r="I17" s="219"/>
      <c r="J17" s="188"/>
    </row>
    <row r="18" spans="1:10" ht="15" x14ac:dyDescent="0.2">
      <c r="A18" s="192"/>
      <c r="B18" s="207"/>
      <c r="C18" s="116" t="s">
        <v>84</v>
      </c>
      <c r="D18" s="219"/>
      <c r="E18" s="219"/>
      <c r="F18" s="219"/>
      <c r="G18" s="219"/>
      <c r="H18" s="219"/>
      <c r="I18" s="219"/>
      <c r="J18" s="188"/>
    </row>
    <row r="19" spans="1:10" ht="15" x14ac:dyDescent="0.2">
      <c r="A19" s="192"/>
      <c r="B19" s="208">
        <v>5</v>
      </c>
      <c r="C19" s="220" t="s">
        <v>135</v>
      </c>
      <c r="D19" s="210"/>
      <c r="E19" s="221"/>
      <c r="F19" s="222"/>
      <c r="G19" s="223"/>
      <c r="H19" s="212"/>
      <c r="I19" s="210"/>
      <c r="J19" s="188"/>
    </row>
    <row r="20" spans="1:10" ht="15" x14ac:dyDescent="0.2">
      <c r="A20" s="192"/>
      <c r="B20" s="213">
        <v>6</v>
      </c>
      <c r="C20" s="224" t="s">
        <v>86</v>
      </c>
      <c r="D20" s="210"/>
      <c r="E20" s="221"/>
      <c r="F20" s="222"/>
      <c r="G20" s="223"/>
      <c r="H20" s="212"/>
      <c r="I20" s="210"/>
      <c r="J20" s="188"/>
    </row>
    <row r="21" spans="1:10" ht="15" x14ac:dyDescent="0.2">
      <c r="A21" s="192"/>
      <c r="B21" s="215">
        <v>7</v>
      </c>
      <c r="C21" s="216" t="s">
        <v>88</v>
      </c>
      <c r="D21" s="210"/>
      <c r="E21" s="225"/>
      <c r="F21" s="222"/>
      <c r="G21" s="223"/>
      <c r="H21" s="212"/>
      <c r="I21" s="210"/>
      <c r="J21" s="188"/>
    </row>
    <row r="22" spans="1:10" ht="16.5" customHeight="1" x14ac:dyDescent="0.2">
      <c r="A22" s="192"/>
      <c r="B22" s="217"/>
      <c r="C22" s="218"/>
      <c r="D22" s="142"/>
      <c r="E22" s="142"/>
      <c r="F22" s="142"/>
      <c r="G22" s="219"/>
      <c r="H22" s="219"/>
      <c r="I22" s="219"/>
      <c r="J22" s="188"/>
    </row>
    <row r="23" spans="1:10" ht="15" x14ac:dyDescent="0.2">
      <c r="A23" s="192"/>
      <c r="B23" s="207"/>
      <c r="C23" s="116" t="s">
        <v>228</v>
      </c>
      <c r="D23" s="219"/>
      <c r="E23" s="219"/>
      <c r="F23" s="219"/>
      <c r="G23" s="219"/>
      <c r="H23" s="219"/>
      <c r="I23" s="219"/>
      <c r="J23" s="188"/>
    </row>
    <row r="24" spans="1:10" ht="15" x14ac:dyDescent="0.2">
      <c r="A24" s="192"/>
      <c r="B24" s="208">
        <v>8</v>
      </c>
      <c r="C24" s="209" t="s">
        <v>137</v>
      </c>
      <c r="D24" s="223"/>
      <c r="E24" s="210"/>
      <c r="F24" s="211"/>
      <c r="G24" s="210"/>
      <c r="H24" s="212"/>
      <c r="I24" s="210"/>
      <c r="J24" s="188"/>
    </row>
    <row r="25" spans="1:10" ht="15" x14ac:dyDescent="0.2">
      <c r="A25" s="192"/>
      <c r="B25" s="213">
        <v>9</v>
      </c>
      <c r="C25" s="214" t="s">
        <v>138</v>
      </c>
      <c r="D25" s="223"/>
      <c r="E25" s="210"/>
      <c r="F25" s="211"/>
      <c r="G25" s="210"/>
      <c r="H25" s="212"/>
      <c r="I25" s="210"/>
      <c r="J25" s="188"/>
    </row>
    <row r="26" spans="1:10" ht="15" x14ac:dyDescent="0.2">
      <c r="A26" s="192"/>
      <c r="B26" s="213">
        <v>10</v>
      </c>
      <c r="C26" s="214" t="s">
        <v>139</v>
      </c>
      <c r="D26" s="223"/>
      <c r="E26" s="210"/>
      <c r="F26" s="211"/>
      <c r="G26" s="210"/>
      <c r="H26" s="212"/>
      <c r="I26" s="210"/>
      <c r="J26" s="188"/>
    </row>
    <row r="27" spans="1:10" ht="15" x14ac:dyDescent="0.2">
      <c r="A27" s="192"/>
      <c r="B27" s="213">
        <v>11</v>
      </c>
      <c r="C27" s="214" t="s">
        <v>140</v>
      </c>
      <c r="D27" s="223"/>
      <c r="E27" s="210"/>
      <c r="F27" s="211"/>
      <c r="G27" s="210"/>
      <c r="H27" s="212"/>
      <c r="I27" s="210"/>
      <c r="J27" s="188"/>
    </row>
    <row r="28" spans="1:10" ht="15" x14ac:dyDescent="0.2">
      <c r="A28" s="192"/>
      <c r="B28" s="213">
        <v>12</v>
      </c>
      <c r="C28" s="214" t="s">
        <v>141</v>
      </c>
      <c r="D28" s="223"/>
      <c r="E28" s="210"/>
      <c r="F28" s="211"/>
      <c r="G28" s="210"/>
      <c r="H28" s="212"/>
      <c r="I28" s="210"/>
      <c r="J28" s="188"/>
    </row>
    <row r="29" spans="1:10" ht="15" x14ac:dyDescent="0.2">
      <c r="A29" s="192"/>
      <c r="B29" s="213">
        <v>13</v>
      </c>
      <c r="C29" s="153" t="s">
        <v>246</v>
      </c>
      <c r="D29" s="223"/>
      <c r="E29" s="210"/>
      <c r="F29" s="211"/>
      <c r="G29" s="210"/>
      <c r="H29" s="212"/>
      <c r="I29" s="210"/>
      <c r="J29" s="188"/>
    </row>
    <row r="30" spans="1:10" ht="15" x14ac:dyDescent="0.2">
      <c r="A30" s="192"/>
      <c r="B30" s="213">
        <v>14</v>
      </c>
      <c r="C30" s="153" t="s">
        <v>142</v>
      </c>
      <c r="D30" s="223"/>
      <c r="E30" s="210"/>
      <c r="F30" s="211"/>
      <c r="G30" s="210"/>
      <c r="H30" s="212"/>
      <c r="I30" s="210"/>
      <c r="J30" s="188"/>
    </row>
    <row r="31" spans="1:10" ht="15" x14ac:dyDescent="0.2">
      <c r="A31" s="192"/>
      <c r="B31" s="213">
        <v>15</v>
      </c>
      <c r="C31" s="214" t="s">
        <v>143</v>
      </c>
      <c r="D31" s="223"/>
      <c r="E31" s="210"/>
      <c r="F31" s="211"/>
      <c r="G31" s="210"/>
      <c r="H31" s="212"/>
      <c r="I31" s="226"/>
      <c r="J31" s="188"/>
    </row>
    <row r="32" spans="1:10" ht="15.75" customHeight="1" x14ac:dyDescent="0.2">
      <c r="A32" s="192"/>
      <c r="B32" s="215">
        <v>16</v>
      </c>
      <c r="C32" s="216" t="s">
        <v>144</v>
      </c>
      <c r="D32" s="223"/>
      <c r="E32" s="227"/>
      <c r="F32" s="211"/>
      <c r="G32" s="228"/>
      <c r="H32" s="227"/>
      <c r="I32" s="227"/>
      <c r="J32" s="188"/>
    </row>
    <row r="33" spans="1:10" ht="15" x14ac:dyDescent="0.2">
      <c r="A33" s="192"/>
      <c r="B33" s="217"/>
      <c r="C33" s="218"/>
      <c r="D33" s="219"/>
      <c r="E33" s="219"/>
      <c r="F33" s="219"/>
      <c r="G33" s="219"/>
      <c r="H33" s="219"/>
      <c r="I33" s="219"/>
      <c r="J33" s="188"/>
    </row>
    <row r="34" spans="1:10" ht="15" x14ac:dyDescent="0.2">
      <c r="A34" s="192"/>
      <c r="B34" s="207"/>
      <c r="C34" s="116" t="s">
        <v>145</v>
      </c>
      <c r="D34" s="219"/>
      <c r="E34" s="219"/>
      <c r="F34" s="219"/>
      <c r="G34" s="219"/>
      <c r="H34" s="219"/>
      <c r="I34" s="219"/>
      <c r="J34" s="188"/>
    </row>
    <row r="35" spans="1:10" ht="15" x14ac:dyDescent="0.2">
      <c r="A35" s="192"/>
      <c r="B35" s="208">
        <v>17</v>
      </c>
      <c r="C35" s="209" t="s">
        <v>146</v>
      </c>
      <c r="D35" s="223"/>
      <c r="E35" s="210"/>
      <c r="F35" s="211"/>
      <c r="G35" s="210"/>
      <c r="H35" s="212"/>
      <c r="I35" s="210"/>
      <c r="J35" s="188"/>
    </row>
    <row r="36" spans="1:10" ht="15" x14ac:dyDescent="0.2">
      <c r="A36" s="192"/>
      <c r="B36" s="213">
        <v>18</v>
      </c>
      <c r="C36" s="214" t="s">
        <v>147</v>
      </c>
      <c r="D36" s="223"/>
      <c r="E36" s="210"/>
      <c r="F36" s="211"/>
      <c r="G36" s="210"/>
      <c r="H36" s="212"/>
      <c r="I36" s="210"/>
      <c r="J36" s="188"/>
    </row>
    <row r="37" spans="1:10" ht="15" x14ac:dyDescent="0.2">
      <c r="A37" s="192"/>
      <c r="B37" s="213">
        <v>19</v>
      </c>
      <c r="C37" s="214" t="s">
        <v>148</v>
      </c>
      <c r="D37" s="223"/>
      <c r="E37" s="210"/>
      <c r="F37" s="211"/>
      <c r="G37" s="210"/>
      <c r="H37" s="212"/>
      <c r="I37" s="210"/>
      <c r="J37" s="188"/>
    </row>
    <row r="38" spans="1:10" ht="15" x14ac:dyDescent="0.2">
      <c r="A38" s="192"/>
      <c r="B38" s="213">
        <v>20</v>
      </c>
      <c r="C38" s="214" t="s">
        <v>149</v>
      </c>
      <c r="D38" s="223"/>
      <c r="E38" s="210"/>
      <c r="F38" s="211"/>
      <c r="G38" s="210"/>
      <c r="H38" s="212"/>
      <c r="I38" s="210"/>
      <c r="J38" s="188"/>
    </row>
    <row r="39" spans="1:10" ht="15" x14ac:dyDescent="0.2">
      <c r="A39" s="192"/>
      <c r="B39" s="213">
        <v>21</v>
      </c>
      <c r="C39" s="214" t="s">
        <v>150</v>
      </c>
      <c r="D39" s="223"/>
      <c r="E39" s="210"/>
      <c r="F39" s="211"/>
      <c r="G39" s="210"/>
      <c r="H39" s="212"/>
      <c r="I39" s="210"/>
      <c r="J39" s="188"/>
    </row>
    <row r="40" spans="1:10" ht="15" x14ac:dyDescent="0.2">
      <c r="A40" s="192"/>
      <c r="B40" s="213">
        <v>22</v>
      </c>
      <c r="C40" s="214" t="s">
        <v>151</v>
      </c>
      <c r="D40" s="223"/>
      <c r="E40" s="210"/>
      <c r="F40" s="211"/>
      <c r="G40" s="210"/>
      <c r="H40" s="212"/>
      <c r="I40" s="210"/>
      <c r="J40" s="188"/>
    </row>
    <row r="41" spans="1:10" ht="15" x14ac:dyDescent="0.2">
      <c r="A41" s="192"/>
      <c r="B41" s="213">
        <v>23</v>
      </c>
      <c r="C41" s="153" t="s">
        <v>154</v>
      </c>
      <c r="D41" s="223"/>
      <c r="E41" s="210"/>
      <c r="F41" s="211"/>
      <c r="G41" s="210"/>
      <c r="H41" s="212"/>
      <c r="I41" s="210"/>
      <c r="J41" s="188"/>
    </row>
    <row r="42" spans="1:10" ht="15" x14ac:dyDescent="0.2">
      <c r="A42" s="192"/>
      <c r="B42" s="215">
        <v>24</v>
      </c>
      <c r="C42" s="229" t="s">
        <v>58</v>
      </c>
      <c r="D42" s="223"/>
      <c r="E42" s="210"/>
      <c r="F42" s="211"/>
      <c r="G42" s="210"/>
      <c r="H42" s="212"/>
      <c r="I42" s="210"/>
      <c r="J42" s="188"/>
    </row>
    <row r="43" spans="1:10" ht="15" x14ac:dyDescent="0.2">
      <c r="A43" s="192"/>
      <c r="B43" s="217"/>
      <c r="C43" s="218"/>
      <c r="D43" s="219"/>
      <c r="E43" s="219"/>
      <c r="F43" s="219"/>
      <c r="G43" s="219"/>
      <c r="H43" s="219"/>
      <c r="I43" s="219"/>
      <c r="J43" s="188"/>
    </row>
    <row r="44" spans="1:10" ht="15" x14ac:dyDescent="0.2">
      <c r="A44" s="192"/>
      <c r="B44" s="134"/>
      <c r="C44" s="230" t="s">
        <v>78</v>
      </c>
      <c r="D44" s="219"/>
      <c r="E44" s="219"/>
      <c r="F44" s="219"/>
      <c r="G44" s="219"/>
      <c r="H44" s="219"/>
      <c r="I44" s="219"/>
      <c r="J44" s="188"/>
    </row>
    <row r="45" spans="1:10" ht="15" x14ac:dyDescent="0.2">
      <c r="A45" s="192"/>
      <c r="B45" s="213">
        <v>25</v>
      </c>
      <c r="C45" s="209" t="s">
        <v>79</v>
      </c>
      <c r="D45" s="210"/>
      <c r="E45" s="210"/>
      <c r="F45" s="222"/>
      <c r="G45" s="223"/>
      <c r="H45" s="210"/>
      <c r="I45" s="210"/>
      <c r="J45" s="188"/>
    </row>
    <row r="46" spans="1:10" ht="15" x14ac:dyDescent="0.2">
      <c r="A46" s="192"/>
      <c r="B46" s="213">
        <v>26</v>
      </c>
      <c r="C46" s="149" t="s">
        <v>10</v>
      </c>
      <c r="D46" s="210"/>
      <c r="E46" s="225"/>
      <c r="F46" s="222"/>
      <c r="G46" s="221"/>
      <c r="H46" s="225"/>
      <c r="I46" s="225"/>
      <c r="J46" s="188"/>
    </row>
    <row r="47" spans="1:10" ht="15" x14ac:dyDescent="0.2">
      <c r="A47" s="192"/>
      <c r="B47" s="213">
        <v>27</v>
      </c>
      <c r="C47" s="153" t="s">
        <v>11</v>
      </c>
      <c r="D47" s="210"/>
      <c r="E47" s="225"/>
      <c r="F47" s="222"/>
      <c r="G47" s="221"/>
      <c r="H47" s="225"/>
      <c r="I47" s="225"/>
      <c r="J47" s="188"/>
    </row>
    <row r="48" spans="1:10" ht="15" x14ac:dyDescent="0.2">
      <c r="A48" s="192"/>
      <c r="B48" s="213">
        <v>28</v>
      </c>
      <c r="C48" s="153" t="s">
        <v>152</v>
      </c>
      <c r="D48" s="210"/>
      <c r="E48" s="225"/>
      <c r="F48" s="222"/>
      <c r="G48" s="221"/>
      <c r="H48" s="225"/>
      <c r="I48" s="225"/>
      <c r="J48" s="188"/>
    </row>
    <row r="49" spans="1:16" ht="15" x14ac:dyDescent="0.2">
      <c r="A49" s="192"/>
      <c r="B49" s="213">
        <v>29</v>
      </c>
      <c r="C49" s="153" t="s">
        <v>12</v>
      </c>
      <c r="D49" s="210"/>
      <c r="E49" s="225"/>
      <c r="F49" s="222"/>
      <c r="G49" s="221"/>
      <c r="H49" s="225"/>
      <c r="I49" s="225"/>
      <c r="J49" s="188"/>
    </row>
    <row r="50" spans="1:16" ht="15" x14ac:dyDescent="0.2">
      <c r="A50" s="192"/>
      <c r="B50" s="213">
        <v>30</v>
      </c>
      <c r="C50" s="153" t="s">
        <v>13</v>
      </c>
      <c r="D50" s="210"/>
      <c r="E50" s="225"/>
      <c r="F50" s="222"/>
      <c r="G50" s="221"/>
      <c r="H50" s="225"/>
      <c r="I50" s="225"/>
      <c r="J50" s="188"/>
    </row>
    <row r="51" spans="1:16" ht="15" x14ac:dyDescent="0.2">
      <c r="A51" s="192"/>
      <c r="B51" s="213">
        <v>31</v>
      </c>
      <c r="C51" s="153" t="s">
        <v>14</v>
      </c>
      <c r="D51" s="210"/>
      <c r="E51" s="225"/>
      <c r="F51" s="222"/>
      <c r="G51" s="221"/>
      <c r="H51" s="225"/>
      <c r="I51" s="225"/>
      <c r="J51" s="188"/>
    </row>
    <row r="52" spans="1:16" ht="15" x14ac:dyDescent="0.2">
      <c r="A52" s="192"/>
      <c r="B52" s="213">
        <v>32</v>
      </c>
      <c r="C52" s="153" t="s">
        <v>15</v>
      </c>
      <c r="D52" s="210"/>
      <c r="E52" s="225"/>
      <c r="F52" s="222"/>
      <c r="G52" s="221"/>
      <c r="H52" s="225"/>
      <c r="I52" s="225"/>
      <c r="J52" s="188"/>
    </row>
    <row r="53" spans="1:16" ht="15" x14ac:dyDescent="0.2">
      <c r="A53" s="192"/>
      <c r="B53" s="213">
        <v>33</v>
      </c>
      <c r="C53" s="153" t="s">
        <v>80</v>
      </c>
      <c r="D53" s="210"/>
      <c r="E53" s="225"/>
      <c r="F53" s="222"/>
      <c r="G53" s="221"/>
      <c r="H53" s="225"/>
      <c r="I53" s="225"/>
      <c r="J53" s="188"/>
    </row>
    <row r="54" spans="1:16" ht="15" x14ac:dyDescent="0.2">
      <c r="A54" s="192"/>
      <c r="B54" s="213">
        <v>34</v>
      </c>
      <c r="C54" s="153" t="s">
        <v>16</v>
      </c>
      <c r="D54" s="210"/>
      <c r="E54" s="225"/>
      <c r="F54" s="222"/>
      <c r="G54" s="221"/>
      <c r="H54" s="225"/>
      <c r="I54" s="225"/>
      <c r="J54" s="188"/>
    </row>
    <row r="55" spans="1:16" ht="15" x14ac:dyDescent="0.2">
      <c r="A55" s="192"/>
      <c r="B55" s="213">
        <v>35</v>
      </c>
      <c r="C55" s="153" t="s">
        <v>81</v>
      </c>
      <c r="D55" s="210"/>
      <c r="E55" s="225"/>
      <c r="F55" s="222"/>
      <c r="G55" s="221"/>
      <c r="H55" s="225"/>
      <c r="I55" s="225"/>
      <c r="J55" s="188"/>
    </row>
    <row r="56" spans="1:16" ht="15" x14ac:dyDescent="0.2">
      <c r="A56" s="192"/>
      <c r="B56" s="213">
        <v>36</v>
      </c>
      <c r="C56" s="153" t="s">
        <v>82</v>
      </c>
      <c r="D56" s="210"/>
      <c r="E56" s="225"/>
      <c r="F56" s="222"/>
      <c r="G56" s="221"/>
      <c r="H56" s="225"/>
      <c r="I56" s="225"/>
      <c r="J56" s="188"/>
    </row>
    <row r="57" spans="1:16" ht="14.25" customHeight="1" x14ac:dyDescent="0.2">
      <c r="A57" s="192"/>
      <c r="B57" s="215">
        <v>37</v>
      </c>
      <c r="C57" s="216" t="s">
        <v>83</v>
      </c>
      <c r="D57" s="210"/>
      <c r="E57" s="225"/>
      <c r="F57" s="222"/>
      <c r="G57" s="221"/>
      <c r="H57" s="225"/>
      <c r="I57" s="225"/>
      <c r="J57" s="188"/>
      <c r="P57" s="231"/>
    </row>
    <row r="58" spans="1:16" ht="14.25" customHeight="1" x14ac:dyDescent="0.2">
      <c r="A58" s="192"/>
      <c r="B58" s="217"/>
      <c r="C58" s="218"/>
      <c r="D58" s="232"/>
      <c r="E58" s="219"/>
      <c r="F58" s="232"/>
      <c r="G58" s="219"/>
      <c r="H58" s="219"/>
      <c r="I58" s="219"/>
      <c r="J58" s="188"/>
      <c r="P58" s="231"/>
    </row>
    <row r="59" spans="1:16" ht="14.25" customHeight="1" x14ac:dyDescent="0.2">
      <c r="A59" s="192"/>
      <c r="B59" s="134"/>
      <c r="C59" s="230" t="s">
        <v>153</v>
      </c>
      <c r="D59" s="219"/>
      <c r="E59" s="219"/>
      <c r="F59" s="219"/>
      <c r="G59" s="219"/>
      <c r="H59" s="219"/>
      <c r="I59" s="219"/>
      <c r="J59" s="188"/>
      <c r="P59" s="231"/>
    </row>
    <row r="60" spans="1:16" ht="14.25" customHeight="1" x14ac:dyDescent="0.2">
      <c r="A60" s="192"/>
      <c r="B60" s="233">
        <v>38</v>
      </c>
      <c r="C60" s="234" t="s">
        <v>158</v>
      </c>
      <c r="D60" s="210"/>
      <c r="E60" s="210"/>
      <c r="F60" s="222"/>
      <c r="G60" s="223"/>
      <c r="H60" s="210"/>
      <c r="I60" s="210"/>
      <c r="J60" s="188"/>
      <c r="P60" s="231"/>
    </row>
    <row r="61" spans="1:16" ht="14.25" customHeight="1" x14ac:dyDescent="0.2">
      <c r="A61" s="192"/>
      <c r="B61" s="217"/>
      <c r="C61" s="218"/>
      <c r="D61" s="232"/>
      <c r="E61" s="219"/>
      <c r="F61" s="232"/>
      <c r="G61" s="219"/>
      <c r="H61" s="219"/>
      <c r="I61" s="219"/>
      <c r="J61" s="188"/>
      <c r="P61" s="231"/>
    </row>
    <row r="62" spans="1:16" ht="15" x14ac:dyDescent="0.2">
      <c r="A62" s="192"/>
      <c r="B62" s="235">
        <v>1</v>
      </c>
      <c r="C62" s="236"/>
      <c r="D62" s="237">
        <f t="shared" ref="D62:I62" si="0">COUNTA(D24:D57)</f>
        <v>0</v>
      </c>
      <c r="E62" s="238">
        <f t="shared" si="0"/>
        <v>0</v>
      </c>
      <c r="F62" s="239">
        <f>COUNTA(F24:F58)</f>
        <v>0</v>
      </c>
      <c r="G62" s="237">
        <f t="shared" si="0"/>
        <v>0</v>
      </c>
      <c r="H62" s="237">
        <f t="shared" si="0"/>
        <v>0</v>
      </c>
      <c r="I62" s="237">
        <f t="shared" si="0"/>
        <v>0</v>
      </c>
      <c r="J62" s="188"/>
    </row>
    <row r="63" spans="1:16" ht="15" x14ac:dyDescent="0.2">
      <c r="A63" s="192"/>
      <c r="B63" s="217"/>
      <c r="C63" s="218"/>
      <c r="D63" s="142"/>
      <c r="E63" s="142"/>
      <c r="F63" s="142"/>
      <c r="G63" s="219"/>
      <c r="H63" s="219"/>
      <c r="I63" s="219"/>
      <c r="J63" s="188"/>
    </row>
    <row r="64" spans="1:16" ht="15" x14ac:dyDescent="0.2">
      <c r="A64" s="192"/>
      <c r="B64" s="134" t="s">
        <v>155</v>
      </c>
      <c r="C64" s="230"/>
      <c r="D64" s="240" t="e">
        <f>D62/(D62+G62)</f>
        <v>#DIV/0!</v>
      </c>
      <c r="E64" s="241" t="e">
        <f>IF(OR(E60+E19+E20&gt;0),0,D64)</f>
        <v>#DIV/0!</v>
      </c>
      <c r="F64" s="242"/>
      <c r="G64" s="243"/>
      <c r="H64" s="243"/>
      <c r="I64" s="243"/>
      <c r="J64" s="188"/>
    </row>
    <row r="65" spans="1:10" ht="15" x14ac:dyDescent="0.2">
      <c r="A65" s="192"/>
      <c r="B65" s="217"/>
      <c r="C65" s="218"/>
      <c r="D65" s="142"/>
      <c r="E65" s="142"/>
      <c r="F65" s="142"/>
      <c r="G65" s="219"/>
      <c r="H65" s="219"/>
      <c r="I65" s="219"/>
      <c r="J65" s="188"/>
    </row>
    <row r="66" spans="1:10" ht="15" x14ac:dyDescent="0.2">
      <c r="A66" s="192"/>
      <c r="B66" s="217"/>
      <c r="C66" s="218"/>
      <c r="D66" s="142"/>
      <c r="E66" s="142"/>
      <c r="F66" s="142"/>
      <c r="G66" s="219"/>
      <c r="H66" s="219"/>
      <c r="I66" s="219"/>
      <c r="J66" s="188"/>
    </row>
    <row r="67" spans="1:10" ht="17.25" customHeight="1" x14ac:dyDescent="0.2">
      <c r="A67" s="192"/>
      <c r="B67" s="244" t="s">
        <v>17</v>
      </c>
      <c r="C67" s="245"/>
      <c r="D67" s="245"/>
      <c r="E67" s="245"/>
      <c r="F67" s="245"/>
      <c r="G67" s="245"/>
      <c r="H67" s="245"/>
      <c r="I67" s="246"/>
      <c r="J67" s="188"/>
    </row>
    <row r="68" spans="1:10" ht="185.25" customHeight="1" x14ac:dyDescent="0.2">
      <c r="A68" s="192"/>
      <c r="B68" s="247"/>
      <c r="C68" s="248"/>
      <c r="D68" s="248"/>
      <c r="E68" s="248"/>
      <c r="F68" s="248"/>
      <c r="G68" s="248"/>
      <c r="H68" s="248"/>
      <c r="I68" s="249"/>
      <c r="J68" s="188"/>
    </row>
    <row r="69" spans="1:10" ht="23.25" customHeight="1" thickBot="1" x14ac:dyDescent="0.25">
      <c r="A69" s="250"/>
      <c r="B69" s="251"/>
      <c r="C69" s="252"/>
      <c r="D69" s="253"/>
      <c r="E69" s="253"/>
      <c r="F69" s="253"/>
      <c r="G69" s="254"/>
      <c r="H69" s="254"/>
      <c r="I69" s="254"/>
      <c r="J69" s="255"/>
    </row>
    <row r="70" spans="1:10" x14ac:dyDescent="0.2">
      <c r="A70" s="256"/>
      <c r="B70" s="257"/>
      <c r="C70" s="257"/>
      <c r="D70" s="258"/>
      <c r="E70" s="258"/>
      <c r="F70" s="258"/>
      <c r="G70" s="258"/>
      <c r="H70" s="258"/>
      <c r="I70" s="258"/>
    </row>
    <row r="71" spans="1:10" x14ac:dyDescent="0.2">
      <c r="A71" s="256"/>
      <c r="B71" s="257"/>
      <c r="C71" s="257"/>
      <c r="D71" s="258"/>
      <c r="E71" s="258"/>
      <c r="F71" s="258"/>
      <c r="G71" s="258"/>
      <c r="H71" s="258"/>
      <c r="I71" s="258"/>
    </row>
  </sheetData>
  <mergeCells count="7">
    <mergeCell ref="B68:I68"/>
    <mergeCell ref="B3:I3"/>
    <mergeCell ref="A6:B6"/>
    <mergeCell ref="A8:B8"/>
    <mergeCell ref="A10:B10"/>
    <mergeCell ref="B62:C62"/>
    <mergeCell ref="B67:I67"/>
  </mergeCells>
  <pageMargins left="0.25" right="0.25" top="0.75" bottom="0.75" header="0.3" footer="0.3"/>
  <pageSetup paperSize="9" scale="56"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02" r:id="rId4" name="Button 38">
              <controlPr defaultSize="0" print="0" autoFill="0" autoPict="0" macro="[0]!Button38_Click">
                <anchor moveWithCells="1" sizeWithCells="1">
                  <from>
                    <xdr:col>3</xdr:col>
                    <xdr:colOff>438150</xdr:colOff>
                    <xdr:row>5</xdr:row>
                    <xdr:rowOff>66675</xdr:rowOff>
                  </from>
                  <to>
                    <xdr:col>5</xdr:col>
                    <xdr:colOff>152400</xdr:colOff>
                    <xdr:row>6</xdr:row>
                    <xdr:rowOff>180975</xdr:rowOff>
                  </to>
                </anchor>
              </controlPr>
            </control>
          </mc:Choice>
        </mc:AlternateContent>
        <mc:AlternateContent xmlns:mc="http://schemas.openxmlformats.org/markup-compatibility/2006">
          <mc:Choice Requires="x14">
            <control shapeId="11303" r:id="rId5" name="Button 39">
              <controlPr defaultSize="0" print="0" autoFill="0" autoPict="0" macro="[0]!Button39_Click">
                <anchor moveWithCells="1" sizeWithCells="1">
                  <from>
                    <xdr:col>6</xdr:col>
                    <xdr:colOff>123825</xdr:colOff>
                    <xdr:row>5</xdr:row>
                    <xdr:rowOff>66675</xdr:rowOff>
                  </from>
                  <to>
                    <xdr:col>7</xdr:col>
                    <xdr:colOff>447675</xdr:colOff>
                    <xdr:row>6</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80"/>
  <sheetViews>
    <sheetView zoomScale="85" zoomScaleNormal="85" workbookViewId="0">
      <selection activeCell="I17" sqref="I17"/>
    </sheetView>
  </sheetViews>
  <sheetFormatPr defaultRowHeight="14.25" x14ac:dyDescent="0.2"/>
  <cols>
    <col min="1" max="1" width="10.5703125" style="86" bestFit="1" customWidth="1"/>
    <col min="2" max="2" width="9.140625" style="87" customWidth="1"/>
    <col min="3" max="3" width="5.140625" style="87" customWidth="1"/>
    <col min="4" max="4" width="87.85546875" style="87" customWidth="1"/>
    <col min="5" max="6" width="10.140625" style="87" bestFit="1" customWidth="1"/>
    <col min="7" max="7" width="9.5703125" style="87" customWidth="1"/>
    <col min="8" max="8" width="10.5703125" style="87" customWidth="1"/>
    <col min="9" max="9" width="12" style="87" customWidth="1"/>
    <col min="10" max="10" width="11.28515625" style="87" customWidth="1"/>
    <col min="11" max="11" width="9.140625" style="86"/>
    <col min="12" max="21" width="9.140625" style="88"/>
    <col min="22" max="16384" width="9.140625" style="87"/>
  </cols>
  <sheetData>
    <row r="1" spans="1:13" ht="15" thickBot="1" x14ac:dyDescent="0.25"/>
    <row r="2" spans="1:13" ht="24" customHeight="1" x14ac:dyDescent="0.2">
      <c r="A2" s="89" t="s">
        <v>89</v>
      </c>
      <c r="B2" s="90"/>
      <c r="C2" s="91"/>
      <c r="D2" s="91"/>
      <c r="E2" s="91"/>
      <c r="F2" s="91"/>
      <c r="G2" s="91"/>
      <c r="H2" s="91"/>
      <c r="I2" s="91"/>
      <c r="J2" s="91"/>
      <c r="K2" s="92"/>
    </row>
    <row r="3" spans="1:13" ht="19.5" x14ac:dyDescent="0.25">
      <c r="B3" s="93"/>
      <c r="C3" s="94"/>
      <c r="D3" s="95" t="s">
        <v>19</v>
      </c>
      <c r="E3" s="96"/>
      <c r="F3" s="96"/>
      <c r="G3" s="96"/>
      <c r="H3" s="96"/>
      <c r="I3" s="96"/>
      <c r="J3" s="96"/>
      <c r="K3" s="97"/>
      <c r="L3" s="98"/>
      <c r="M3" s="88" t="s">
        <v>0</v>
      </c>
    </row>
    <row r="4" spans="1:13" x14ac:dyDescent="0.2">
      <c r="B4" s="93"/>
      <c r="C4" s="94"/>
      <c r="D4" s="94"/>
      <c r="E4" s="94"/>
      <c r="F4" s="94"/>
      <c r="G4" s="94"/>
      <c r="H4" s="94"/>
      <c r="I4" s="94"/>
      <c r="J4" s="94"/>
      <c r="K4" s="97"/>
    </row>
    <row r="5" spans="1:13" ht="15" x14ac:dyDescent="0.2">
      <c r="B5" s="99"/>
      <c r="C5" s="100"/>
      <c r="D5" s="101"/>
      <c r="E5" s="102"/>
      <c r="F5" s="102"/>
      <c r="G5" s="102"/>
      <c r="H5" s="103"/>
      <c r="I5" s="103"/>
      <c r="J5" s="103"/>
      <c r="K5" s="97"/>
    </row>
    <row r="6" spans="1:13" ht="23.25" customHeight="1" x14ac:dyDescent="0.2">
      <c r="B6" s="104" t="s">
        <v>1</v>
      </c>
      <c r="C6" s="105"/>
      <c r="D6" s="106"/>
      <c r="E6" s="102"/>
      <c r="F6" s="102"/>
      <c r="G6" s="102"/>
      <c r="H6" s="103"/>
      <c r="I6" s="103"/>
      <c r="J6" s="103"/>
      <c r="K6" s="97"/>
    </row>
    <row r="7" spans="1:13" ht="15.75" customHeight="1" x14ac:dyDescent="0.2">
      <c r="B7" s="107"/>
      <c r="C7" s="108"/>
      <c r="D7" s="101"/>
      <c r="E7" s="102"/>
      <c r="F7" s="102"/>
      <c r="G7" s="102"/>
      <c r="H7" s="103"/>
      <c r="I7" s="103"/>
      <c r="J7" s="103"/>
      <c r="K7" s="97"/>
    </row>
    <row r="8" spans="1:13" ht="23.25" customHeight="1" x14ac:dyDescent="0.2">
      <c r="B8" s="104" t="s">
        <v>2</v>
      </c>
      <c r="C8" s="105"/>
      <c r="D8" s="109"/>
      <c r="E8" s="102"/>
      <c r="F8" s="102"/>
      <c r="G8" s="102"/>
      <c r="H8" s="103"/>
      <c r="I8" s="103"/>
      <c r="J8" s="103"/>
      <c r="K8" s="97"/>
    </row>
    <row r="9" spans="1:13" ht="15.75" customHeight="1" x14ac:dyDescent="0.2">
      <c r="B9" s="107"/>
      <c r="C9" s="108"/>
      <c r="D9" s="101"/>
      <c r="E9" s="102"/>
      <c r="F9" s="102"/>
      <c r="G9" s="102"/>
      <c r="H9" s="103"/>
      <c r="I9" s="103"/>
      <c r="J9" s="103"/>
      <c r="K9" s="97"/>
    </row>
    <row r="10" spans="1:13" ht="23.25" customHeight="1" x14ac:dyDescent="0.2">
      <c r="B10" s="110" t="s">
        <v>31</v>
      </c>
      <c r="C10" s="111"/>
      <c r="D10" s="112"/>
      <c r="E10" s="102"/>
      <c r="F10" s="102"/>
      <c r="G10" s="102"/>
      <c r="H10" s="103"/>
      <c r="I10" s="103"/>
      <c r="J10" s="103"/>
      <c r="K10" s="97"/>
    </row>
    <row r="11" spans="1:13" ht="22.5" x14ac:dyDescent="0.3">
      <c r="B11" s="99"/>
      <c r="C11" s="113"/>
      <c r="D11" s="114"/>
      <c r="E11" s="102"/>
      <c r="F11" s="102"/>
      <c r="G11" s="102"/>
      <c r="H11" s="103"/>
      <c r="I11" s="103"/>
      <c r="J11" s="103"/>
      <c r="K11" s="97"/>
    </row>
    <row r="12" spans="1:13" ht="15" x14ac:dyDescent="0.2">
      <c r="B12" s="99"/>
      <c r="C12" s="115" t="s">
        <v>59</v>
      </c>
      <c r="D12" s="116"/>
      <c r="E12" s="117" t="s">
        <v>3</v>
      </c>
      <c r="F12" s="118" t="s">
        <v>4</v>
      </c>
      <c r="G12" s="119" t="s">
        <v>5</v>
      </c>
      <c r="H12" s="118" t="s">
        <v>6</v>
      </c>
      <c r="I12" s="118" t="s">
        <v>7</v>
      </c>
      <c r="J12" s="120" t="s">
        <v>8</v>
      </c>
      <c r="K12" s="97"/>
    </row>
    <row r="13" spans="1:13" ht="15" x14ac:dyDescent="0.2">
      <c r="B13" s="99"/>
      <c r="C13" s="121">
        <v>1</v>
      </c>
      <c r="D13" s="122" t="s">
        <v>60</v>
      </c>
      <c r="E13" s="123"/>
      <c r="F13" s="124"/>
      <c r="G13" s="125"/>
      <c r="H13" s="126"/>
      <c r="I13" s="127"/>
      <c r="J13" s="126"/>
      <c r="K13" s="97"/>
    </row>
    <row r="14" spans="1:13" ht="15" x14ac:dyDescent="0.2">
      <c r="B14" s="99"/>
      <c r="C14" s="121">
        <v>2</v>
      </c>
      <c r="D14" s="128" t="s">
        <v>61</v>
      </c>
      <c r="E14" s="123"/>
      <c r="F14" s="124"/>
      <c r="G14" s="125"/>
      <c r="H14" s="126"/>
      <c r="I14" s="127"/>
      <c r="J14" s="126"/>
      <c r="K14" s="97"/>
    </row>
    <row r="15" spans="1:13" ht="15" x14ac:dyDescent="0.2">
      <c r="B15" s="99"/>
      <c r="C15" s="121">
        <v>3</v>
      </c>
      <c r="D15" s="128" t="s">
        <v>62</v>
      </c>
      <c r="E15" s="123"/>
      <c r="F15" s="124"/>
      <c r="G15" s="125"/>
      <c r="H15" s="126"/>
      <c r="I15" s="127"/>
      <c r="J15" s="126"/>
      <c r="K15" s="97"/>
    </row>
    <row r="16" spans="1:13" ht="15" x14ac:dyDescent="0.2">
      <c r="B16" s="99"/>
      <c r="C16" s="121">
        <v>4</v>
      </c>
      <c r="D16" s="129" t="s">
        <v>63</v>
      </c>
      <c r="E16" s="123"/>
      <c r="F16" s="124"/>
      <c r="G16" s="125"/>
      <c r="H16" s="126"/>
      <c r="I16" s="127"/>
      <c r="J16" s="126"/>
      <c r="K16" s="97"/>
    </row>
    <row r="17" spans="2:24" ht="15" x14ac:dyDescent="0.2">
      <c r="B17" s="99"/>
      <c r="C17" s="121">
        <v>5</v>
      </c>
      <c r="D17" s="129" t="s">
        <v>64</v>
      </c>
      <c r="E17" s="123"/>
      <c r="F17" s="124"/>
      <c r="G17" s="125"/>
      <c r="H17" s="126"/>
      <c r="I17" s="127"/>
      <c r="J17" s="126"/>
      <c r="K17" s="97"/>
    </row>
    <row r="18" spans="2:24" ht="15" x14ac:dyDescent="0.2">
      <c r="B18" s="99"/>
      <c r="C18" s="121">
        <v>6</v>
      </c>
      <c r="D18" s="129" t="s">
        <v>65</v>
      </c>
      <c r="E18" s="123"/>
      <c r="F18" s="124"/>
      <c r="G18" s="125"/>
      <c r="H18" s="126"/>
      <c r="I18" s="127"/>
      <c r="J18" s="126"/>
      <c r="K18" s="97"/>
    </row>
    <row r="19" spans="2:24" ht="15" x14ac:dyDescent="0.2">
      <c r="B19" s="99"/>
      <c r="C19" s="121">
        <v>7</v>
      </c>
      <c r="D19" s="129" t="s">
        <v>66</v>
      </c>
      <c r="E19" s="123"/>
      <c r="F19" s="124"/>
      <c r="G19" s="125"/>
      <c r="H19" s="126"/>
      <c r="I19" s="127"/>
      <c r="J19" s="126"/>
      <c r="K19" s="97"/>
    </row>
    <row r="20" spans="2:24" ht="15" x14ac:dyDescent="0.2">
      <c r="B20" s="99"/>
      <c r="C20" s="130">
        <v>8</v>
      </c>
      <c r="D20" s="131" t="s">
        <v>67</v>
      </c>
      <c r="E20" s="123"/>
      <c r="F20" s="124"/>
      <c r="G20" s="125"/>
      <c r="H20" s="126"/>
      <c r="I20" s="127"/>
      <c r="J20" s="126"/>
      <c r="K20" s="97"/>
    </row>
    <row r="21" spans="2:24" ht="15" x14ac:dyDescent="0.2">
      <c r="B21" s="99"/>
      <c r="C21" s="132"/>
      <c r="D21" s="133"/>
      <c r="E21" s="94"/>
      <c r="F21" s="94"/>
      <c r="G21" s="94"/>
      <c r="H21" s="94"/>
      <c r="I21" s="94"/>
      <c r="J21" s="94"/>
      <c r="K21" s="97"/>
    </row>
    <row r="22" spans="2:24" ht="15" x14ac:dyDescent="0.2">
      <c r="B22" s="99"/>
      <c r="C22" s="134" t="s">
        <v>68</v>
      </c>
      <c r="D22" s="116"/>
      <c r="E22" s="94"/>
      <c r="F22" s="94"/>
      <c r="G22" s="94"/>
      <c r="H22" s="94"/>
      <c r="I22" s="94"/>
      <c r="J22" s="94"/>
      <c r="K22" s="97"/>
      <c r="V22" s="86"/>
    </row>
    <row r="23" spans="2:24" ht="15" x14ac:dyDescent="0.2">
      <c r="B23" s="99"/>
      <c r="C23" s="121">
        <v>9</v>
      </c>
      <c r="D23" s="122" t="s">
        <v>69</v>
      </c>
      <c r="E23" s="123"/>
      <c r="F23" s="124"/>
      <c r="G23" s="125"/>
      <c r="H23" s="126"/>
      <c r="I23" s="127"/>
      <c r="J23" s="126"/>
      <c r="K23" s="97"/>
    </row>
    <row r="24" spans="2:24" ht="15.75" customHeight="1" x14ac:dyDescent="0.2">
      <c r="B24" s="99"/>
      <c r="C24" s="121">
        <v>10</v>
      </c>
      <c r="D24" s="128" t="s">
        <v>70</v>
      </c>
      <c r="E24" s="123"/>
      <c r="F24" s="124"/>
      <c r="G24" s="125"/>
      <c r="H24" s="126"/>
      <c r="I24" s="127"/>
      <c r="J24" s="126"/>
      <c r="K24" s="97"/>
    </row>
    <row r="25" spans="2:24" ht="15" x14ac:dyDescent="0.2">
      <c r="B25" s="99"/>
      <c r="C25" s="121">
        <v>11</v>
      </c>
      <c r="D25" s="128" t="s">
        <v>71</v>
      </c>
      <c r="E25" s="123"/>
      <c r="F25" s="124"/>
      <c r="G25" s="125"/>
      <c r="H25" s="126"/>
      <c r="I25" s="127"/>
      <c r="J25" s="126"/>
      <c r="K25" s="97"/>
    </row>
    <row r="26" spans="2:24" ht="15" x14ac:dyDescent="0.2">
      <c r="B26" s="99"/>
      <c r="C26" s="121">
        <v>12</v>
      </c>
      <c r="D26" s="128" t="s">
        <v>72</v>
      </c>
      <c r="E26" s="123"/>
      <c r="F26" s="124"/>
      <c r="G26" s="125"/>
      <c r="H26" s="126"/>
      <c r="I26" s="127"/>
      <c r="J26" s="126"/>
      <c r="K26" s="97"/>
    </row>
    <row r="27" spans="2:24" ht="15" x14ac:dyDescent="0.2">
      <c r="B27" s="99"/>
      <c r="C27" s="121">
        <v>13</v>
      </c>
      <c r="D27" s="128" t="s">
        <v>73</v>
      </c>
      <c r="E27" s="123"/>
      <c r="F27" s="124"/>
      <c r="G27" s="125"/>
      <c r="H27" s="126"/>
      <c r="I27" s="127"/>
      <c r="J27" s="126"/>
      <c r="K27" s="97"/>
    </row>
    <row r="28" spans="2:24" ht="15" x14ac:dyDescent="0.2">
      <c r="B28" s="99"/>
      <c r="C28" s="121">
        <v>14</v>
      </c>
      <c r="D28" s="128" t="s">
        <v>74</v>
      </c>
      <c r="E28" s="123"/>
      <c r="F28" s="124"/>
      <c r="G28" s="125"/>
      <c r="H28" s="126"/>
      <c r="I28" s="127"/>
      <c r="J28" s="126"/>
      <c r="K28" s="97"/>
    </row>
    <row r="29" spans="2:24" ht="15" x14ac:dyDescent="0.2">
      <c r="B29" s="99"/>
      <c r="C29" s="121">
        <v>15</v>
      </c>
      <c r="D29" s="128" t="s">
        <v>75</v>
      </c>
      <c r="E29" s="123"/>
      <c r="F29" s="124"/>
      <c r="G29" s="125"/>
      <c r="H29" s="126"/>
      <c r="I29" s="127"/>
      <c r="J29" s="126"/>
      <c r="K29" s="97"/>
    </row>
    <row r="30" spans="2:24" ht="15" x14ac:dyDescent="0.2">
      <c r="B30" s="99"/>
      <c r="C30" s="121">
        <v>16</v>
      </c>
      <c r="D30" s="128" t="s">
        <v>76</v>
      </c>
      <c r="E30" s="123"/>
      <c r="F30" s="124"/>
      <c r="G30" s="125"/>
      <c r="H30" s="126"/>
      <c r="I30" s="127"/>
      <c r="J30" s="126"/>
      <c r="K30" s="97"/>
    </row>
    <row r="31" spans="2:24" ht="15" x14ac:dyDescent="0.2">
      <c r="B31" s="99"/>
      <c r="C31" s="135">
        <v>17</v>
      </c>
      <c r="D31" s="136" t="s">
        <v>77</v>
      </c>
      <c r="E31" s="137"/>
      <c r="F31" s="138"/>
      <c r="G31" s="125"/>
      <c r="H31" s="139"/>
      <c r="I31" s="138"/>
      <c r="J31" s="126"/>
      <c r="K31" s="97"/>
      <c r="O31" s="140"/>
      <c r="X31" s="141"/>
    </row>
    <row r="32" spans="2:24" ht="15" x14ac:dyDescent="0.2">
      <c r="B32" s="99"/>
      <c r="C32" s="142"/>
      <c r="D32" s="143"/>
      <c r="E32" s="144"/>
      <c r="F32" s="144"/>
      <c r="G32" s="144"/>
      <c r="H32" s="145"/>
      <c r="I32" s="145"/>
      <c r="J32" s="145"/>
      <c r="K32" s="97"/>
    </row>
    <row r="33" spans="2:11" ht="15" x14ac:dyDescent="0.2">
      <c r="B33" s="99"/>
      <c r="C33" s="134"/>
      <c r="D33" s="116" t="s">
        <v>78</v>
      </c>
      <c r="E33" s="144"/>
      <c r="F33" s="144"/>
      <c r="G33" s="144"/>
      <c r="H33" s="145"/>
      <c r="I33" s="145"/>
      <c r="J33" s="145"/>
      <c r="K33" s="97"/>
    </row>
    <row r="34" spans="2:11" ht="15" x14ac:dyDescent="0.2">
      <c r="B34" s="99"/>
      <c r="C34" s="146">
        <v>18</v>
      </c>
      <c r="D34" s="122" t="s">
        <v>79</v>
      </c>
      <c r="E34" s="123"/>
      <c r="F34" s="124"/>
      <c r="G34" s="147"/>
      <c r="H34" s="148"/>
      <c r="I34" s="126"/>
      <c r="J34" s="126"/>
      <c r="K34" s="97"/>
    </row>
    <row r="35" spans="2:11" ht="15" x14ac:dyDescent="0.2">
      <c r="B35" s="99"/>
      <c r="C35" s="121">
        <v>19</v>
      </c>
      <c r="D35" s="149" t="s">
        <v>10</v>
      </c>
      <c r="E35" s="123"/>
      <c r="F35" s="150"/>
      <c r="G35" s="147"/>
      <c r="H35" s="151"/>
      <c r="I35" s="152"/>
      <c r="J35" s="152"/>
      <c r="K35" s="97"/>
    </row>
    <row r="36" spans="2:11" ht="15" x14ac:dyDescent="0.2">
      <c r="B36" s="99"/>
      <c r="C36" s="121">
        <v>20</v>
      </c>
      <c r="D36" s="153" t="s">
        <v>11</v>
      </c>
      <c r="E36" s="123"/>
      <c r="F36" s="150"/>
      <c r="G36" s="147"/>
      <c r="H36" s="151"/>
      <c r="I36" s="152"/>
      <c r="J36" s="152"/>
      <c r="K36" s="97"/>
    </row>
    <row r="37" spans="2:11" ht="15" x14ac:dyDescent="0.2">
      <c r="B37" s="99"/>
      <c r="C37" s="121">
        <v>21</v>
      </c>
      <c r="D37" s="153" t="s">
        <v>12</v>
      </c>
      <c r="E37" s="123"/>
      <c r="F37" s="150"/>
      <c r="G37" s="147"/>
      <c r="H37" s="151"/>
      <c r="I37" s="152"/>
      <c r="J37" s="152"/>
      <c r="K37" s="97"/>
    </row>
    <row r="38" spans="2:11" ht="15" x14ac:dyDescent="0.2">
      <c r="B38" s="99"/>
      <c r="C38" s="121">
        <v>22</v>
      </c>
      <c r="D38" s="153" t="s">
        <v>13</v>
      </c>
      <c r="E38" s="123"/>
      <c r="F38" s="150"/>
      <c r="G38" s="147"/>
      <c r="H38" s="151"/>
      <c r="I38" s="152"/>
      <c r="J38" s="152"/>
      <c r="K38" s="97"/>
    </row>
    <row r="39" spans="2:11" ht="15" x14ac:dyDescent="0.2">
      <c r="B39" s="99"/>
      <c r="C39" s="121">
        <v>23</v>
      </c>
      <c r="D39" s="153" t="s">
        <v>14</v>
      </c>
      <c r="E39" s="123"/>
      <c r="F39" s="150"/>
      <c r="G39" s="147"/>
      <c r="H39" s="151"/>
      <c r="I39" s="152"/>
      <c r="J39" s="152"/>
      <c r="K39" s="97"/>
    </row>
    <row r="40" spans="2:11" ht="15" x14ac:dyDescent="0.2">
      <c r="B40" s="99"/>
      <c r="C40" s="121">
        <v>24</v>
      </c>
      <c r="D40" s="153" t="s">
        <v>15</v>
      </c>
      <c r="E40" s="123"/>
      <c r="F40" s="150"/>
      <c r="G40" s="147"/>
      <c r="H40" s="151"/>
      <c r="I40" s="152"/>
      <c r="J40" s="152"/>
      <c r="K40" s="97"/>
    </row>
    <row r="41" spans="2:11" ht="15" x14ac:dyDescent="0.2">
      <c r="B41" s="99"/>
      <c r="C41" s="121">
        <v>25</v>
      </c>
      <c r="D41" s="153" t="s">
        <v>80</v>
      </c>
      <c r="E41" s="123"/>
      <c r="F41" s="150"/>
      <c r="G41" s="147"/>
      <c r="H41" s="151"/>
      <c r="I41" s="152"/>
      <c r="J41" s="152"/>
      <c r="K41" s="97"/>
    </row>
    <row r="42" spans="2:11" ht="15" x14ac:dyDescent="0.2">
      <c r="B42" s="99"/>
      <c r="C42" s="121">
        <v>26</v>
      </c>
      <c r="D42" s="153" t="s">
        <v>16</v>
      </c>
      <c r="E42" s="123"/>
      <c r="F42" s="150"/>
      <c r="G42" s="147"/>
      <c r="H42" s="151"/>
      <c r="I42" s="152"/>
      <c r="J42" s="152"/>
      <c r="K42" s="97"/>
    </row>
    <row r="43" spans="2:11" ht="15" x14ac:dyDescent="0.2">
      <c r="B43" s="99"/>
      <c r="C43" s="121">
        <v>27</v>
      </c>
      <c r="D43" s="153" t="s">
        <v>81</v>
      </c>
      <c r="E43" s="123"/>
      <c r="F43" s="150"/>
      <c r="G43" s="147"/>
      <c r="H43" s="151"/>
      <c r="I43" s="152"/>
      <c r="J43" s="152"/>
      <c r="K43" s="97"/>
    </row>
    <row r="44" spans="2:11" ht="15" x14ac:dyDescent="0.2">
      <c r="B44" s="99"/>
      <c r="C44" s="121">
        <v>28</v>
      </c>
      <c r="D44" s="153" t="s">
        <v>82</v>
      </c>
      <c r="E44" s="123"/>
      <c r="F44" s="150"/>
      <c r="G44" s="147"/>
      <c r="H44" s="151"/>
      <c r="I44" s="152"/>
      <c r="J44" s="152"/>
      <c r="K44" s="97"/>
    </row>
    <row r="45" spans="2:11" ht="15" x14ac:dyDescent="0.2">
      <c r="B45" s="99"/>
      <c r="C45" s="130">
        <v>29</v>
      </c>
      <c r="D45" s="131" t="s">
        <v>83</v>
      </c>
      <c r="E45" s="123"/>
      <c r="F45" s="150"/>
      <c r="G45" s="147"/>
      <c r="H45" s="151"/>
      <c r="I45" s="152"/>
      <c r="J45" s="152"/>
      <c r="K45" s="97"/>
    </row>
    <row r="46" spans="2:11" ht="15" x14ac:dyDescent="0.2">
      <c r="B46" s="99"/>
      <c r="C46" s="142"/>
      <c r="D46" s="143"/>
      <c r="E46" s="154"/>
      <c r="F46" s="144"/>
      <c r="G46" s="154"/>
      <c r="H46" s="145"/>
      <c r="I46" s="145"/>
      <c r="J46" s="145"/>
      <c r="K46" s="97"/>
    </row>
    <row r="47" spans="2:11" ht="15" x14ac:dyDescent="0.2">
      <c r="B47" s="99"/>
      <c r="C47" s="155"/>
      <c r="D47" s="156" t="s">
        <v>84</v>
      </c>
      <c r="E47" s="144"/>
      <c r="F47" s="144"/>
      <c r="G47" s="144"/>
      <c r="H47" s="145"/>
      <c r="I47" s="145"/>
      <c r="J47" s="145"/>
      <c r="K47" s="97"/>
    </row>
    <row r="48" spans="2:11" ht="15" x14ac:dyDescent="0.2">
      <c r="B48" s="99"/>
      <c r="C48" s="146">
        <v>30</v>
      </c>
      <c r="D48" s="122" t="s">
        <v>85</v>
      </c>
      <c r="E48" s="123"/>
      <c r="F48" s="150"/>
      <c r="G48" s="147"/>
      <c r="H48" s="148"/>
      <c r="I48" s="127"/>
      <c r="J48" s="126"/>
      <c r="K48" s="97"/>
    </row>
    <row r="49" spans="2:22" ht="15" x14ac:dyDescent="0.2">
      <c r="B49" s="99"/>
      <c r="C49" s="121">
        <v>31</v>
      </c>
      <c r="D49" s="128" t="s">
        <v>86</v>
      </c>
      <c r="E49" s="123"/>
      <c r="F49" s="150"/>
      <c r="G49" s="147"/>
      <c r="H49" s="148"/>
      <c r="I49" s="127"/>
      <c r="J49" s="126"/>
      <c r="K49" s="97"/>
    </row>
    <row r="50" spans="2:22" ht="15" x14ac:dyDescent="0.2">
      <c r="B50" s="99"/>
      <c r="C50" s="121">
        <v>32</v>
      </c>
      <c r="D50" s="128" t="s">
        <v>87</v>
      </c>
      <c r="E50" s="123"/>
      <c r="F50" s="150"/>
      <c r="G50" s="147"/>
      <c r="H50" s="148"/>
      <c r="I50" s="127"/>
      <c r="J50" s="126"/>
      <c r="K50" s="97"/>
    </row>
    <row r="51" spans="2:22" ht="15" x14ac:dyDescent="0.2">
      <c r="B51" s="99"/>
      <c r="C51" s="130">
        <v>33</v>
      </c>
      <c r="D51" s="131" t="s">
        <v>88</v>
      </c>
      <c r="E51" s="123"/>
      <c r="F51" s="150"/>
      <c r="G51" s="147"/>
      <c r="H51" s="148"/>
      <c r="I51" s="127"/>
      <c r="J51" s="126"/>
      <c r="K51" s="97"/>
      <c r="V51" s="86"/>
    </row>
    <row r="52" spans="2:22" ht="15" x14ac:dyDescent="0.2">
      <c r="B52" s="99"/>
      <c r="C52" s="157"/>
      <c r="D52" s="103"/>
      <c r="E52" s="103"/>
      <c r="F52" s="103"/>
      <c r="G52" s="103"/>
      <c r="H52" s="103"/>
      <c r="I52" s="103"/>
      <c r="J52" s="103"/>
      <c r="K52" s="97"/>
      <c r="V52" s="86"/>
    </row>
    <row r="53" spans="2:22" ht="15" customHeight="1" x14ac:dyDescent="0.2">
      <c r="B53" s="99"/>
      <c r="C53" s="158" t="s">
        <v>9</v>
      </c>
      <c r="D53" s="159"/>
      <c r="E53" s="160">
        <f>COUNTA(E13:E51)</f>
        <v>0</v>
      </c>
      <c r="F53" s="160">
        <f>COUNTA(F13:F51)</f>
        <v>0</v>
      </c>
      <c r="G53" s="160">
        <f>COUNTA(G13:G51)</f>
        <v>0</v>
      </c>
      <c r="H53" s="160">
        <f t="shared" ref="H53:J53" si="0">COUNTA(H13:H51)</f>
        <v>0</v>
      </c>
      <c r="I53" s="160">
        <f t="shared" si="0"/>
        <v>0</v>
      </c>
      <c r="J53" s="160">
        <f t="shared" si="0"/>
        <v>0</v>
      </c>
      <c r="K53" s="97"/>
    </row>
    <row r="54" spans="2:22" ht="15" x14ac:dyDescent="0.2">
      <c r="B54" s="99"/>
      <c r="C54" s="157"/>
      <c r="D54" s="101"/>
      <c r="E54" s="102"/>
      <c r="F54" s="102"/>
      <c r="G54" s="102"/>
      <c r="H54" s="103"/>
      <c r="I54" s="103"/>
      <c r="J54" s="103"/>
      <c r="K54" s="97"/>
    </row>
    <row r="55" spans="2:22" ht="15" customHeight="1" x14ac:dyDescent="0.2">
      <c r="B55" s="99"/>
      <c r="C55" s="161" t="s">
        <v>18</v>
      </c>
      <c r="D55" s="162"/>
      <c r="E55" s="163" t="e">
        <f>E53/(E53+H53)</f>
        <v>#DIV/0!</v>
      </c>
      <c r="F55" s="164" t="e">
        <f>IF(OR(F9&gt;0),0,E55)</f>
        <v>#DIV/0!</v>
      </c>
      <c r="G55" s="165"/>
      <c r="H55" s="166"/>
      <c r="I55" s="166"/>
      <c r="J55" s="166"/>
      <c r="K55" s="97"/>
    </row>
    <row r="56" spans="2:22" s="86" customFormat="1" ht="15" x14ac:dyDescent="0.2">
      <c r="B56" s="99"/>
      <c r="C56" s="157"/>
      <c r="D56" s="100"/>
      <c r="E56" s="167"/>
      <c r="F56" s="168"/>
      <c r="G56" s="166"/>
      <c r="H56" s="166"/>
      <c r="I56" s="166"/>
      <c r="J56" s="166"/>
      <c r="K56" s="97"/>
      <c r="L56" s="88"/>
      <c r="M56" s="88"/>
      <c r="N56" s="88"/>
      <c r="O56" s="88"/>
      <c r="P56" s="88"/>
      <c r="Q56" s="88"/>
      <c r="R56" s="88"/>
      <c r="S56" s="88"/>
      <c r="T56" s="88"/>
      <c r="U56" s="88"/>
    </row>
    <row r="57" spans="2:22" s="86" customFormat="1" ht="15" x14ac:dyDescent="0.2">
      <c r="B57" s="99"/>
      <c r="C57" s="169" t="s">
        <v>17</v>
      </c>
      <c r="D57" s="170"/>
      <c r="E57" s="170"/>
      <c r="F57" s="170"/>
      <c r="G57" s="170"/>
      <c r="H57" s="170"/>
      <c r="I57" s="170"/>
      <c r="J57" s="171"/>
      <c r="K57" s="97"/>
      <c r="L57" s="88"/>
      <c r="M57" s="88"/>
      <c r="N57" s="88"/>
      <c r="O57" s="88"/>
      <c r="P57" s="88"/>
      <c r="Q57" s="88"/>
      <c r="R57" s="88"/>
      <c r="S57" s="88"/>
      <c r="T57" s="88"/>
      <c r="U57" s="88"/>
    </row>
    <row r="58" spans="2:22" s="86" customFormat="1" ht="155.25" customHeight="1" x14ac:dyDescent="0.2">
      <c r="B58" s="99"/>
      <c r="C58" s="172"/>
      <c r="D58" s="173"/>
      <c r="E58" s="173"/>
      <c r="F58" s="173"/>
      <c r="G58" s="173"/>
      <c r="H58" s="173"/>
      <c r="I58" s="173"/>
      <c r="J58" s="174"/>
      <c r="K58" s="97"/>
      <c r="L58" s="88"/>
      <c r="M58" s="88"/>
      <c r="N58" s="88"/>
      <c r="O58" s="88"/>
      <c r="P58" s="88"/>
      <c r="Q58" s="88"/>
      <c r="R58" s="88"/>
      <c r="S58" s="88"/>
      <c r="T58" s="88"/>
      <c r="U58" s="88"/>
    </row>
    <row r="59" spans="2:22" s="86" customFormat="1" ht="15" x14ac:dyDescent="0.2">
      <c r="B59" s="99"/>
      <c r="C59" s="157"/>
      <c r="D59" s="100"/>
      <c r="E59" s="167"/>
      <c r="F59" s="168"/>
      <c r="G59" s="166"/>
      <c r="H59" s="166"/>
      <c r="I59" s="166"/>
      <c r="J59" s="166"/>
      <c r="K59" s="97"/>
      <c r="L59" s="88"/>
      <c r="M59" s="88"/>
      <c r="N59" s="88"/>
      <c r="O59" s="88"/>
      <c r="P59" s="88"/>
      <c r="Q59" s="88"/>
      <c r="R59" s="88"/>
      <c r="S59" s="88"/>
      <c r="T59" s="88"/>
      <c r="U59" s="88"/>
    </row>
    <row r="60" spans="2:22" ht="15" thickBot="1" x14ac:dyDescent="0.25">
      <c r="B60" s="175"/>
      <c r="C60" s="176"/>
      <c r="D60" s="177"/>
      <c r="E60" s="176"/>
      <c r="F60" s="176"/>
      <c r="G60" s="176"/>
      <c r="H60" s="177"/>
      <c r="I60" s="177"/>
      <c r="J60" s="177"/>
      <c r="K60" s="178"/>
    </row>
    <row r="64" spans="2:22" x14ac:dyDescent="0.2">
      <c r="V64" s="86"/>
    </row>
    <row r="65" spans="22:22" x14ac:dyDescent="0.2">
      <c r="V65" s="86"/>
    </row>
    <row r="66" spans="22:22" x14ac:dyDescent="0.2">
      <c r="V66" s="86"/>
    </row>
    <row r="67" spans="22:22" x14ac:dyDescent="0.2">
      <c r="V67" s="86"/>
    </row>
    <row r="77" spans="22:22" x14ac:dyDescent="0.2">
      <c r="V77" s="86"/>
    </row>
    <row r="78" spans="22:22" x14ac:dyDescent="0.2">
      <c r="V78" s="86"/>
    </row>
    <row r="79" spans="22:22" x14ac:dyDescent="0.2">
      <c r="V79" s="86"/>
    </row>
    <row r="80" spans="22:22" x14ac:dyDescent="0.2">
      <c r="V80" s="86"/>
    </row>
  </sheetData>
  <mergeCells count="8">
    <mergeCell ref="C53:D53"/>
    <mergeCell ref="C55:D55"/>
    <mergeCell ref="C57:J57"/>
    <mergeCell ref="C58:J58"/>
    <mergeCell ref="D3:J3"/>
    <mergeCell ref="B6:C6"/>
    <mergeCell ref="B8:C8"/>
    <mergeCell ref="B10:C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6" r:id="rId4" name="Button 32">
              <controlPr defaultSize="0" print="0" autoFill="0" autoPict="0" macro="[0]!Button32_Click">
                <anchor moveWithCells="1" sizeWithCells="1">
                  <from>
                    <xdr:col>4</xdr:col>
                    <xdr:colOff>447675</xdr:colOff>
                    <xdr:row>5</xdr:row>
                    <xdr:rowOff>9525</xdr:rowOff>
                  </from>
                  <to>
                    <xdr:col>6</xdr:col>
                    <xdr:colOff>190500</xdr:colOff>
                    <xdr:row>6</xdr:row>
                    <xdr:rowOff>180975</xdr:rowOff>
                  </to>
                </anchor>
              </controlPr>
            </control>
          </mc:Choice>
        </mc:AlternateContent>
        <mc:AlternateContent xmlns:mc="http://schemas.openxmlformats.org/markup-compatibility/2006">
          <mc:Choice Requires="x14">
            <control shapeId="1057" r:id="rId5" name="Button 33">
              <controlPr defaultSize="0" print="0" autoFill="0" autoPict="0" macro="[0]!Button33_Click">
                <anchor moveWithCells="1" sizeWithCells="1">
                  <from>
                    <xdr:col>7</xdr:col>
                    <xdr:colOff>152400</xdr:colOff>
                    <xdr:row>4</xdr:row>
                    <xdr:rowOff>190500</xdr:rowOff>
                  </from>
                  <to>
                    <xdr:col>8</xdr:col>
                    <xdr:colOff>581025</xdr:colOff>
                    <xdr:row>6</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7"/>
  <sheetViews>
    <sheetView zoomScale="70" zoomScaleNormal="70" workbookViewId="0">
      <selection sqref="A1:XFD1048576"/>
    </sheetView>
  </sheetViews>
  <sheetFormatPr defaultRowHeight="14.25" x14ac:dyDescent="0.2"/>
  <cols>
    <col min="1" max="1" width="9.140625" style="86"/>
    <col min="2" max="2" width="20" style="87" customWidth="1"/>
    <col min="3" max="3" width="5.140625" style="87" customWidth="1"/>
    <col min="4" max="4" width="130.42578125" style="87" customWidth="1"/>
    <col min="5" max="6" width="10.140625" style="87" bestFit="1" customWidth="1"/>
    <col min="7" max="7" width="8.140625" style="87" customWidth="1"/>
    <col min="8" max="8" width="9.140625" style="87"/>
    <col min="9" max="9" width="10.7109375" style="87" customWidth="1"/>
    <col min="10" max="10" width="10.140625" style="87" customWidth="1"/>
    <col min="11" max="12" width="9.140625" style="87"/>
    <col min="13" max="13" width="10" style="86" customWidth="1"/>
    <col min="14" max="14" width="9.140625" style="86"/>
    <col min="15" max="15" width="42" style="87" customWidth="1"/>
    <col min="16" max="16384" width="9.140625" style="87"/>
  </cols>
  <sheetData>
    <row r="1" spans="1:28" s="86" customFormat="1" x14ac:dyDescent="0.2"/>
    <row r="2" spans="1:28" s="86" customFormat="1" ht="15" thickBot="1" x14ac:dyDescent="0.25">
      <c r="A2" s="89" t="s">
        <v>129</v>
      </c>
    </row>
    <row r="3" spans="1:28" ht="24" customHeight="1" x14ac:dyDescent="0.2">
      <c r="B3" s="90"/>
      <c r="C3" s="91"/>
      <c r="D3" s="91"/>
      <c r="E3" s="91"/>
      <c r="F3" s="91"/>
      <c r="G3" s="91"/>
      <c r="H3" s="91"/>
      <c r="I3" s="91"/>
      <c r="J3" s="91"/>
      <c r="K3" s="91"/>
      <c r="L3" s="91"/>
      <c r="M3" s="92"/>
    </row>
    <row r="4" spans="1:28" ht="22.5" x14ac:dyDescent="0.3">
      <c r="B4" s="93"/>
      <c r="C4" s="94"/>
      <c r="D4" s="259" t="s">
        <v>90</v>
      </c>
      <c r="E4" s="259"/>
      <c r="F4" s="259"/>
      <c r="G4" s="259"/>
      <c r="H4" s="259"/>
      <c r="I4" s="259"/>
      <c r="J4" s="259"/>
      <c r="K4" s="259"/>
      <c r="L4" s="259"/>
      <c r="M4" s="97"/>
    </row>
    <row r="5" spans="1:28" ht="39" customHeight="1" x14ac:dyDescent="0.2">
      <c r="B5" s="93"/>
      <c r="C5" s="94"/>
      <c r="D5" s="94"/>
      <c r="E5" s="94"/>
      <c r="F5" s="94"/>
      <c r="G5" s="94"/>
      <c r="H5" s="94"/>
      <c r="I5" s="94"/>
      <c r="J5" s="94"/>
      <c r="K5" s="94"/>
      <c r="L5" s="94"/>
      <c r="M5" s="97"/>
    </row>
    <row r="6" spans="1:28" ht="19.5" x14ac:dyDescent="0.25">
      <c r="B6" s="260"/>
      <c r="C6" s="261" t="s">
        <v>1</v>
      </c>
      <c r="D6" s="262"/>
      <c r="E6" s="195"/>
      <c r="F6" s="195"/>
      <c r="G6" s="195"/>
      <c r="H6" s="145"/>
      <c r="I6" s="145"/>
      <c r="J6" s="145"/>
      <c r="K6" s="145"/>
      <c r="L6" s="145"/>
      <c r="M6" s="97"/>
    </row>
    <row r="7" spans="1:28" x14ac:dyDescent="0.2">
      <c r="B7" s="260"/>
      <c r="C7" s="263"/>
      <c r="D7" s="264"/>
      <c r="E7" s="195"/>
      <c r="F7" s="195"/>
      <c r="G7" s="195"/>
      <c r="H7" s="145"/>
      <c r="I7" s="145"/>
      <c r="J7" s="145"/>
      <c r="K7" s="145"/>
      <c r="L7" s="145"/>
      <c r="M7" s="97"/>
    </row>
    <row r="8" spans="1:28" ht="19.5" x14ac:dyDescent="0.25">
      <c r="B8" s="260"/>
      <c r="C8" s="265" t="s">
        <v>2</v>
      </c>
      <c r="D8" s="266"/>
      <c r="E8" s="195"/>
      <c r="F8" s="195"/>
      <c r="G8" s="195"/>
      <c r="H8" s="145"/>
      <c r="I8" s="145"/>
      <c r="J8" s="145"/>
      <c r="K8" s="145"/>
      <c r="L8" s="145"/>
      <c r="M8" s="97"/>
    </row>
    <row r="9" spans="1:28" x14ac:dyDescent="0.2">
      <c r="B9" s="260"/>
      <c r="C9" s="263"/>
      <c r="D9" s="264"/>
      <c r="E9" s="195"/>
      <c r="F9" s="195"/>
      <c r="G9" s="195"/>
      <c r="H9" s="145"/>
      <c r="I9" s="145"/>
      <c r="J9" s="145"/>
      <c r="K9" s="145"/>
      <c r="L9" s="145"/>
      <c r="M9" s="97"/>
      <c r="O9" s="88"/>
    </row>
    <row r="10" spans="1:28" ht="19.5" x14ac:dyDescent="0.25">
      <c r="B10" s="260"/>
      <c r="C10" s="265" t="s">
        <v>91</v>
      </c>
      <c r="D10" s="262"/>
      <c r="E10" s="195"/>
      <c r="F10" s="195"/>
      <c r="G10" s="195"/>
      <c r="H10" s="145"/>
      <c r="I10" s="145"/>
      <c r="J10" s="145"/>
      <c r="K10" s="145"/>
      <c r="L10" s="145"/>
      <c r="M10" s="97"/>
    </row>
    <row r="11" spans="1:28" x14ac:dyDescent="0.2">
      <c r="B11" s="260"/>
      <c r="D11" s="195"/>
      <c r="E11" s="195"/>
      <c r="F11" s="195"/>
      <c r="G11" s="195"/>
      <c r="H11" s="145"/>
      <c r="I11" s="145"/>
      <c r="J11" s="145"/>
      <c r="K11" s="145"/>
      <c r="L11" s="145"/>
      <c r="M11" s="97"/>
    </row>
    <row r="12" spans="1:28" ht="22.5" x14ac:dyDescent="0.3">
      <c r="B12" s="260"/>
      <c r="C12" s="267"/>
      <c r="D12" s="268"/>
      <c r="E12" s="195"/>
      <c r="F12" s="195"/>
      <c r="G12" s="195"/>
      <c r="H12" s="145"/>
      <c r="I12" s="145"/>
      <c r="J12" s="145"/>
      <c r="K12" s="145"/>
      <c r="L12" s="145"/>
      <c r="M12" s="97"/>
    </row>
    <row r="13" spans="1:28" ht="15" x14ac:dyDescent="0.2">
      <c r="B13" s="260"/>
      <c r="C13" s="269"/>
      <c r="D13" s="270" t="s">
        <v>92</v>
      </c>
      <c r="E13" s="118" t="s">
        <v>3</v>
      </c>
      <c r="F13" s="118" t="s">
        <v>4</v>
      </c>
      <c r="G13" s="119" t="s">
        <v>5</v>
      </c>
      <c r="H13" s="118" t="s">
        <v>6</v>
      </c>
      <c r="I13" s="118" t="s">
        <v>7</v>
      </c>
      <c r="J13" s="120" t="s">
        <v>8</v>
      </c>
      <c r="K13" s="145"/>
      <c r="L13" s="145"/>
      <c r="M13" s="97"/>
    </row>
    <row r="14" spans="1:28" ht="15" x14ac:dyDescent="0.2">
      <c r="B14" s="260"/>
      <c r="C14" s="271">
        <v>1</v>
      </c>
      <c r="D14" s="272" t="s">
        <v>93</v>
      </c>
      <c r="E14" s="273"/>
      <c r="F14" s="274"/>
      <c r="G14" s="275"/>
      <c r="H14" s="274"/>
      <c r="I14" s="276"/>
      <c r="J14" s="274"/>
      <c r="K14" s="145"/>
      <c r="L14" s="145"/>
      <c r="M14" s="97"/>
      <c r="O14" s="277"/>
      <c r="P14" s="277"/>
      <c r="Q14" s="277"/>
      <c r="R14" s="277"/>
      <c r="S14" s="277"/>
      <c r="T14" s="277"/>
      <c r="U14" s="277"/>
      <c r="V14" s="277"/>
      <c r="W14" s="277"/>
      <c r="X14" s="277"/>
      <c r="Y14" s="277"/>
      <c r="Z14" s="277"/>
      <c r="AA14" s="277"/>
      <c r="AB14" s="277"/>
    </row>
    <row r="15" spans="1:28" ht="15" x14ac:dyDescent="0.2">
      <c r="B15" s="260"/>
      <c r="C15" s="278">
        <v>2</v>
      </c>
      <c r="D15" s="279" t="s">
        <v>94</v>
      </c>
      <c r="E15" s="273"/>
      <c r="F15" s="274"/>
      <c r="G15" s="275"/>
      <c r="H15" s="274"/>
      <c r="I15" s="276"/>
      <c r="J15" s="274"/>
      <c r="K15" s="145"/>
      <c r="L15" s="145"/>
      <c r="M15" s="97"/>
      <c r="O15" s="277"/>
      <c r="P15" s="277"/>
      <c r="Q15" s="277"/>
      <c r="R15" s="277"/>
      <c r="S15" s="277"/>
      <c r="T15" s="277"/>
      <c r="U15" s="277"/>
      <c r="V15" s="277"/>
      <c r="W15" s="277"/>
      <c r="X15" s="277"/>
      <c r="Y15" s="277"/>
      <c r="Z15" s="277"/>
      <c r="AA15" s="277"/>
      <c r="AB15" s="277"/>
    </row>
    <row r="16" spans="1:28" ht="16.5" customHeight="1" x14ac:dyDescent="0.2">
      <c r="B16" s="260"/>
      <c r="C16" s="278">
        <v>3</v>
      </c>
      <c r="D16" s="279" t="s">
        <v>95</v>
      </c>
      <c r="E16" s="273"/>
      <c r="F16" s="274"/>
      <c r="G16" s="275"/>
      <c r="H16" s="274"/>
      <c r="I16" s="276"/>
      <c r="J16" s="274"/>
      <c r="K16" s="145"/>
      <c r="L16" s="145"/>
      <c r="M16" s="97"/>
      <c r="O16" s="277"/>
      <c r="P16" s="277"/>
      <c r="Q16" s="277"/>
      <c r="R16" s="277"/>
      <c r="S16" s="277"/>
      <c r="T16" s="277"/>
      <c r="U16" s="277"/>
      <c r="V16" s="277"/>
      <c r="W16" s="277"/>
      <c r="X16" s="277"/>
      <c r="Y16" s="277"/>
      <c r="Z16" s="277"/>
      <c r="AA16" s="277"/>
      <c r="AB16" s="277"/>
    </row>
    <row r="17" spans="2:28" ht="16.5" customHeight="1" x14ac:dyDescent="0.2">
      <c r="B17" s="260"/>
      <c r="C17" s="278">
        <v>4</v>
      </c>
      <c r="D17" s="279" t="s">
        <v>96</v>
      </c>
      <c r="E17" s="273"/>
      <c r="F17" s="274"/>
      <c r="G17" s="275"/>
      <c r="H17" s="274"/>
      <c r="I17" s="276"/>
      <c r="J17" s="274"/>
      <c r="K17" s="145"/>
      <c r="L17" s="145"/>
      <c r="M17" s="97"/>
      <c r="O17" s="277"/>
      <c r="P17" s="277"/>
      <c r="Q17" s="277"/>
      <c r="R17" s="277"/>
      <c r="S17" s="277"/>
      <c r="T17" s="277"/>
      <c r="U17" s="277"/>
      <c r="V17" s="277"/>
      <c r="W17" s="277"/>
      <c r="X17" s="277"/>
      <c r="Y17" s="277"/>
      <c r="Z17" s="277"/>
      <c r="AA17" s="277"/>
      <c r="AB17" s="277"/>
    </row>
    <row r="18" spans="2:28" ht="16.5" customHeight="1" x14ac:dyDescent="0.2">
      <c r="B18" s="260"/>
      <c r="C18" s="278">
        <v>5</v>
      </c>
      <c r="D18" s="279" t="s">
        <v>97</v>
      </c>
      <c r="E18" s="273"/>
      <c r="F18" s="274"/>
      <c r="G18" s="275"/>
      <c r="H18" s="274"/>
      <c r="I18" s="276"/>
      <c r="J18" s="274"/>
      <c r="K18" s="145"/>
      <c r="L18" s="145"/>
      <c r="M18" s="97"/>
      <c r="O18" s="277"/>
      <c r="P18" s="277"/>
      <c r="Q18" s="277"/>
      <c r="R18" s="277"/>
      <c r="S18" s="277"/>
      <c r="T18" s="277"/>
      <c r="U18" s="277"/>
      <c r="V18" s="277"/>
      <c r="W18" s="277"/>
      <c r="X18" s="277"/>
      <c r="Y18" s="277"/>
      <c r="Z18" s="277"/>
      <c r="AA18" s="277"/>
      <c r="AB18" s="277"/>
    </row>
    <row r="19" spans="2:28" ht="15" x14ac:dyDescent="0.2">
      <c r="B19" s="260"/>
      <c r="C19" s="280">
        <v>6</v>
      </c>
      <c r="D19" s="281" t="s">
        <v>98</v>
      </c>
      <c r="E19" s="273"/>
      <c r="F19" s="274"/>
      <c r="G19" s="275"/>
      <c r="H19" s="274"/>
      <c r="I19" s="276"/>
      <c r="J19" s="274"/>
      <c r="K19" s="145"/>
      <c r="L19" s="145"/>
      <c r="M19" s="97"/>
      <c r="O19" s="277"/>
      <c r="P19" s="277"/>
      <c r="Q19" s="277"/>
      <c r="R19" s="277"/>
      <c r="S19" s="277"/>
      <c r="T19" s="277"/>
      <c r="U19" s="277"/>
      <c r="V19" s="277"/>
      <c r="W19" s="277"/>
      <c r="X19" s="277"/>
      <c r="Y19" s="277"/>
      <c r="Z19" s="277"/>
      <c r="AA19" s="277"/>
      <c r="AB19" s="277"/>
    </row>
    <row r="20" spans="2:28" ht="15.75" customHeight="1" x14ac:dyDescent="0.2">
      <c r="B20" s="260"/>
      <c r="C20" s="195"/>
      <c r="D20" s="145"/>
      <c r="E20" s="282"/>
      <c r="F20" s="282"/>
      <c r="G20" s="282"/>
      <c r="H20" s="282"/>
      <c r="I20" s="282"/>
      <c r="J20" s="282"/>
      <c r="K20" s="145"/>
      <c r="L20" s="145"/>
      <c r="M20" s="97"/>
      <c r="O20" s="277"/>
      <c r="P20" s="277"/>
      <c r="Q20" s="277"/>
      <c r="R20" s="277"/>
      <c r="S20" s="277"/>
      <c r="T20" s="277"/>
      <c r="U20" s="277"/>
      <c r="V20" s="277"/>
      <c r="W20" s="277"/>
      <c r="X20" s="277"/>
      <c r="Y20" s="277"/>
      <c r="Z20" s="277"/>
      <c r="AA20" s="277"/>
      <c r="AB20" s="277"/>
    </row>
    <row r="21" spans="2:28" s="86" customFormat="1" ht="15.75" customHeight="1" x14ac:dyDescent="0.2">
      <c r="B21" s="260"/>
      <c r="C21" s="283"/>
      <c r="D21" s="284" t="s">
        <v>99</v>
      </c>
      <c r="E21" s="282"/>
      <c r="F21" s="282"/>
      <c r="G21" s="282"/>
      <c r="H21" s="282"/>
      <c r="I21" s="282"/>
      <c r="J21" s="282"/>
      <c r="K21" s="145"/>
      <c r="L21" s="145"/>
      <c r="M21" s="97"/>
      <c r="O21" s="285"/>
      <c r="P21" s="89" t="s">
        <v>100</v>
      </c>
      <c r="Q21" s="89"/>
      <c r="R21" s="286"/>
      <c r="S21" s="286"/>
      <c r="T21" s="286"/>
      <c r="U21" s="286"/>
      <c r="V21" s="286"/>
      <c r="W21" s="286"/>
      <c r="X21" s="286"/>
      <c r="Y21" s="286"/>
      <c r="Z21" s="286"/>
      <c r="AA21" s="286"/>
      <c r="AB21" s="286"/>
    </row>
    <row r="22" spans="2:28" ht="15.75" customHeight="1" x14ac:dyDescent="0.2">
      <c r="B22" s="260"/>
      <c r="C22" s="287">
        <v>7</v>
      </c>
      <c r="D22" s="272" t="s">
        <v>101</v>
      </c>
      <c r="E22" s="288"/>
      <c r="F22" s="289"/>
      <c r="G22" s="275"/>
      <c r="H22" s="289"/>
      <c r="I22" s="289"/>
      <c r="J22" s="289"/>
      <c r="K22" s="145"/>
      <c r="L22" s="145"/>
      <c r="M22" s="97"/>
      <c r="O22" s="277"/>
      <c r="P22" s="277"/>
      <c r="Q22" s="277"/>
      <c r="R22" s="277"/>
      <c r="S22" s="277"/>
      <c r="T22" s="277"/>
      <c r="U22" s="277"/>
      <c r="V22" s="277"/>
      <c r="W22" s="277"/>
      <c r="X22" s="277"/>
      <c r="Y22" s="277"/>
      <c r="Z22" s="277"/>
      <c r="AA22" s="277"/>
      <c r="AB22" s="277"/>
    </row>
    <row r="23" spans="2:28" ht="15.75" customHeight="1" x14ac:dyDescent="0.2">
      <c r="B23" s="260"/>
      <c r="C23" s="290">
        <v>8</v>
      </c>
      <c r="D23" s="279" t="s">
        <v>102</v>
      </c>
      <c r="E23" s="288"/>
      <c r="F23" s="289"/>
      <c r="G23" s="275"/>
      <c r="H23" s="289"/>
      <c r="I23" s="289"/>
      <c r="J23" s="289"/>
      <c r="K23" s="145"/>
      <c r="L23" s="145"/>
      <c r="M23" s="97"/>
      <c r="O23" s="277"/>
      <c r="P23" s="277"/>
      <c r="Q23" s="277"/>
      <c r="R23" s="277"/>
      <c r="S23" s="277"/>
      <c r="T23" s="277"/>
      <c r="U23" s="277"/>
      <c r="V23" s="277"/>
      <c r="W23" s="277"/>
      <c r="X23" s="277"/>
      <c r="Y23" s="277"/>
      <c r="Z23" s="277"/>
      <c r="AA23" s="277"/>
      <c r="AB23" s="277"/>
    </row>
    <row r="24" spans="2:28" ht="15.75" customHeight="1" x14ac:dyDescent="0.2">
      <c r="B24" s="260"/>
      <c r="C24" s="290">
        <v>9</v>
      </c>
      <c r="D24" s="279" t="s">
        <v>103</v>
      </c>
      <c r="E24" s="288"/>
      <c r="F24" s="289"/>
      <c r="G24" s="275"/>
      <c r="H24" s="289"/>
      <c r="I24" s="289"/>
      <c r="J24" s="289"/>
      <c r="K24" s="145"/>
      <c r="L24" s="145"/>
      <c r="M24" s="97"/>
      <c r="O24" s="277"/>
      <c r="P24" s="277"/>
      <c r="Q24" s="277"/>
      <c r="R24" s="277"/>
      <c r="S24" s="277"/>
      <c r="T24" s="277"/>
      <c r="U24" s="277"/>
      <c r="V24" s="277"/>
      <c r="W24" s="277"/>
      <c r="X24" s="277"/>
      <c r="Y24" s="277"/>
      <c r="Z24" s="277"/>
      <c r="AA24" s="277"/>
      <c r="AB24" s="277"/>
    </row>
    <row r="25" spans="2:28" ht="15.75" customHeight="1" x14ac:dyDescent="0.2">
      <c r="B25" s="260"/>
      <c r="C25" s="290">
        <v>10</v>
      </c>
      <c r="D25" s="279" t="s">
        <v>104</v>
      </c>
      <c r="E25" s="273"/>
      <c r="F25" s="274"/>
      <c r="G25" s="275"/>
      <c r="H25" s="274"/>
      <c r="I25" s="274"/>
      <c r="J25" s="274"/>
      <c r="K25" s="145"/>
      <c r="L25" s="145"/>
      <c r="M25" s="97"/>
      <c r="O25" s="277"/>
      <c r="P25" s="277"/>
      <c r="Q25" s="277"/>
      <c r="R25" s="277"/>
      <c r="S25" s="277"/>
      <c r="T25" s="277"/>
      <c r="U25" s="277"/>
      <c r="V25" s="277"/>
      <c r="W25" s="277"/>
      <c r="X25" s="277"/>
      <c r="Y25" s="277"/>
      <c r="Z25" s="277"/>
      <c r="AA25" s="277"/>
      <c r="AB25" s="277"/>
    </row>
    <row r="26" spans="2:28" ht="15" x14ac:dyDescent="0.2">
      <c r="B26" s="260"/>
      <c r="C26" s="291">
        <v>11</v>
      </c>
      <c r="D26" s="281" t="s">
        <v>105</v>
      </c>
      <c r="E26" s="273"/>
      <c r="F26" s="274"/>
      <c r="G26" s="275"/>
      <c r="H26" s="274"/>
      <c r="I26" s="274"/>
      <c r="J26" s="274"/>
      <c r="K26" s="145"/>
      <c r="L26" s="145"/>
      <c r="M26" s="97"/>
      <c r="O26" s="277"/>
      <c r="P26" s="277"/>
      <c r="Q26" s="277"/>
      <c r="R26" s="277"/>
      <c r="S26" s="277"/>
      <c r="T26" s="277"/>
      <c r="U26" s="277"/>
      <c r="V26" s="277"/>
      <c r="W26" s="277"/>
      <c r="X26" s="277"/>
      <c r="Y26" s="277"/>
      <c r="Z26" s="277"/>
      <c r="AA26" s="277"/>
      <c r="AB26" s="277"/>
    </row>
    <row r="27" spans="2:28" s="94" customFormat="1" x14ac:dyDescent="0.2">
      <c r="B27" s="260"/>
      <c r="C27" s="292"/>
      <c r="D27" s="293"/>
      <c r="E27" s="282"/>
      <c r="F27" s="282"/>
      <c r="G27" s="282"/>
      <c r="H27" s="282"/>
      <c r="I27" s="282"/>
      <c r="J27" s="282"/>
      <c r="K27" s="145"/>
      <c r="L27" s="145"/>
      <c r="M27" s="97"/>
      <c r="O27" s="294"/>
      <c r="P27" s="294"/>
      <c r="Q27" s="294"/>
      <c r="R27" s="294"/>
      <c r="S27" s="294"/>
      <c r="T27" s="294"/>
      <c r="U27" s="294"/>
      <c r="V27" s="294"/>
      <c r="W27" s="294"/>
      <c r="X27" s="294"/>
      <c r="Y27" s="294"/>
      <c r="Z27" s="294"/>
      <c r="AA27" s="294"/>
      <c r="AB27" s="294"/>
    </row>
    <row r="28" spans="2:28" ht="15" x14ac:dyDescent="0.2">
      <c r="B28" s="260"/>
      <c r="C28" s="283"/>
      <c r="D28" s="284" t="s">
        <v>106</v>
      </c>
      <c r="E28" s="282"/>
      <c r="F28" s="282"/>
      <c r="G28" s="282"/>
      <c r="H28" s="282"/>
      <c r="I28" s="282"/>
      <c r="J28" s="282"/>
      <c r="K28" s="145"/>
      <c r="L28" s="145"/>
      <c r="M28" s="97"/>
      <c r="O28" s="277"/>
      <c r="P28" s="277"/>
      <c r="Q28" s="277"/>
      <c r="R28" s="277"/>
      <c r="S28" s="277"/>
      <c r="T28" s="277"/>
      <c r="U28" s="277"/>
      <c r="V28" s="277"/>
      <c r="W28" s="277"/>
      <c r="X28" s="277"/>
      <c r="Y28" s="277"/>
      <c r="Z28" s="277"/>
      <c r="AA28" s="277"/>
      <c r="AB28" s="277"/>
    </row>
    <row r="29" spans="2:28" ht="18" customHeight="1" x14ac:dyDescent="0.2">
      <c r="B29" s="260"/>
      <c r="C29" s="287">
        <v>12</v>
      </c>
      <c r="D29" s="272" t="s">
        <v>107</v>
      </c>
      <c r="E29" s="288"/>
      <c r="F29" s="289"/>
      <c r="G29" s="275"/>
      <c r="H29" s="289"/>
      <c r="I29" s="289"/>
      <c r="J29" s="289"/>
      <c r="K29" s="145"/>
      <c r="L29" s="145"/>
      <c r="M29" s="97"/>
      <c r="O29" s="277"/>
      <c r="P29" s="277"/>
      <c r="Q29" s="277"/>
      <c r="R29" s="277"/>
      <c r="S29" s="277"/>
      <c r="T29" s="277"/>
      <c r="U29" s="277"/>
      <c r="V29" s="277"/>
      <c r="W29" s="277"/>
      <c r="X29" s="277"/>
      <c r="Y29" s="277"/>
      <c r="Z29" s="277"/>
      <c r="AA29" s="277"/>
      <c r="AB29" s="277"/>
    </row>
    <row r="30" spans="2:28" ht="15" x14ac:dyDescent="0.2">
      <c r="B30" s="260"/>
      <c r="C30" s="290">
        <v>13</v>
      </c>
      <c r="D30" s="279" t="s">
        <v>108</v>
      </c>
      <c r="E30" s="288"/>
      <c r="F30" s="289"/>
      <c r="G30" s="275"/>
      <c r="H30" s="289"/>
      <c r="I30" s="289"/>
      <c r="J30" s="289"/>
      <c r="K30" s="145"/>
      <c r="L30" s="145"/>
      <c r="M30" s="97"/>
      <c r="O30" s="277"/>
      <c r="P30" s="277"/>
      <c r="Q30" s="277"/>
      <c r="R30" s="277"/>
      <c r="S30" s="277"/>
      <c r="T30" s="277"/>
      <c r="U30" s="277"/>
      <c r="V30" s="277"/>
      <c r="W30" s="277"/>
      <c r="X30" s="277"/>
      <c r="Y30" s="277"/>
      <c r="Z30" s="277"/>
      <c r="AA30" s="277"/>
      <c r="AB30" s="277"/>
    </row>
    <row r="31" spans="2:28" ht="15" x14ac:dyDescent="0.2">
      <c r="B31" s="260"/>
      <c r="C31" s="290">
        <v>14</v>
      </c>
      <c r="D31" s="279" t="s">
        <v>109</v>
      </c>
      <c r="E31" s="273"/>
      <c r="F31" s="274"/>
      <c r="G31" s="275"/>
      <c r="H31" s="274"/>
      <c r="I31" s="274"/>
      <c r="J31" s="274"/>
      <c r="K31" s="145"/>
      <c r="L31" s="145"/>
      <c r="M31" s="97"/>
      <c r="O31" s="277"/>
      <c r="P31" s="277"/>
      <c r="Q31" s="277"/>
      <c r="R31" s="277"/>
      <c r="S31" s="277"/>
      <c r="T31" s="277"/>
      <c r="U31" s="277"/>
      <c r="V31" s="277"/>
      <c r="W31" s="277"/>
      <c r="X31" s="277"/>
      <c r="Y31" s="277"/>
      <c r="Z31" s="277"/>
      <c r="AA31" s="277"/>
      <c r="AB31" s="277"/>
    </row>
    <row r="32" spans="2:28" ht="15" x14ac:dyDescent="0.2">
      <c r="B32" s="260"/>
      <c r="C32" s="290">
        <v>15</v>
      </c>
      <c r="D32" s="279" t="s">
        <v>110</v>
      </c>
      <c r="E32" s="273"/>
      <c r="F32" s="274"/>
      <c r="G32" s="275"/>
      <c r="H32" s="274"/>
      <c r="I32" s="274"/>
      <c r="J32" s="274"/>
      <c r="K32" s="145"/>
      <c r="L32" s="145"/>
      <c r="M32" s="97"/>
      <c r="O32" s="277"/>
      <c r="P32" s="277"/>
      <c r="Q32" s="277"/>
      <c r="R32" s="277"/>
      <c r="S32" s="277"/>
      <c r="T32" s="277"/>
      <c r="U32" s="277"/>
      <c r="V32" s="277"/>
      <c r="W32" s="277"/>
      <c r="X32" s="277"/>
      <c r="Y32" s="277"/>
      <c r="Z32" s="277"/>
      <c r="AA32" s="277"/>
      <c r="AB32" s="277"/>
    </row>
    <row r="33" spans="2:28" ht="15" x14ac:dyDescent="0.2">
      <c r="B33" s="260"/>
      <c r="C33" s="290">
        <v>16</v>
      </c>
      <c r="D33" s="279" t="s">
        <v>111</v>
      </c>
      <c r="E33" s="273"/>
      <c r="F33" s="274"/>
      <c r="G33" s="275"/>
      <c r="H33" s="274"/>
      <c r="I33" s="274"/>
      <c r="J33" s="274"/>
      <c r="K33" s="145"/>
      <c r="L33" s="145"/>
      <c r="M33" s="97"/>
      <c r="O33" s="277"/>
      <c r="P33" s="277"/>
      <c r="Q33" s="277"/>
      <c r="R33" s="277"/>
      <c r="S33" s="277"/>
      <c r="T33" s="277"/>
      <c r="U33" s="277"/>
      <c r="V33" s="277"/>
      <c r="W33" s="277"/>
      <c r="X33" s="277"/>
      <c r="Y33" s="277"/>
      <c r="Z33" s="277"/>
      <c r="AA33" s="277"/>
      <c r="AB33" s="277"/>
    </row>
    <row r="34" spans="2:28" ht="15" x14ac:dyDescent="0.2">
      <c r="B34" s="260"/>
      <c r="C34" s="290">
        <v>17</v>
      </c>
      <c r="D34" s="279" t="s">
        <v>112</v>
      </c>
      <c r="E34" s="273"/>
      <c r="F34" s="274"/>
      <c r="G34" s="275"/>
      <c r="H34" s="274"/>
      <c r="I34" s="274"/>
      <c r="J34" s="274"/>
      <c r="K34" s="145"/>
      <c r="L34" s="145"/>
      <c r="M34" s="97"/>
      <c r="O34" s="277"/>
      <c r="P34" s="277"/>
      <c r="Q34" s="277"/>
      <c r="R34" s="277"/>
      <c r="S34" s="277"/>
      <c r="T34" s="277"/>
      <c r="U34" s="277"/>
      <c r="V34" s="277"/>
      <c r="W34" s="277"/>
      <c r="X34" s="277"/>
      <c r="Y34" s="277"/>
      <c r="Z34" s="277"/>
      <c r="AA34" s="277"/>
      <c r="AB34" s="277"/>
    </row>
    <row r="35" spans="2:28" ht="15" x14ac:dyDescent="0.2">
      <c r="B35" s="260"/>
      <c r="C35" s="290">
        <v>18</v>
      </c>
      <c r="D35" s="279" t="s">
        <v>113</v>
      </c>
      <c r="E35" s="295"/>
      <c r="F35" s="296"/>
      <c r="G35" s="275"/>
      <c r="H35" s="296"/>
      <c r="I35" s="296"/>
      <c r="J35" s="296"/>
      <c r="K35" s="145"/>
      <c r="L35" s="145"/>
      <c r="M35" s="97"/>
      <c r="O35" s="277"/>
      <c r="P35" s="277"/>
      <c r="Q35" s="277"/>
      <c r="R35" s="277"/>
      <c r="S35" s="277"/>
      <c r="T35" s="277"/>
      <c r="U35" s="277"/>
      <c r="V35" s="277"/>
      <c r="W35" s="277"/>
      <c r="X35" s="277"/>
      <c r="Y35" s="277"/>
      <c r="Z35" s="277"/>
      <c r="AA35" s="277"/>
      <c r="AB35" s="277"/>
    </row>
    <row r="36" spans="2:28" ht="15" x14ac:dyDescent="0.2">
      <c r="B36" s="260"/>
      <c r="C36" s="290">
        <v>19</v>
      </c>
      <c r="D36" s="279" t="s">
        <v>114</v>
      </c>
      <c r="E36" s="295"/>
      <c r="F36" s="296"/>
      <c r="G36" s="275"/>
      <c r="H36" s="296"/>
      <c r="I36" s="297"/>
      <c r="J36" s="296"/>
      <c r="K36" s="145"/>
      <c r="L36" s="145"/>
      <c r="M36" s="97"/>
      <c r="O36" s="277"/>
      <c r="P36" s="277"/>
      <c r="Q36" s="277"/>
      <c r="R36" s="277"/>
      <c r="S36" s="277"/>
      <c r="T36" s="277"/>
      <c r="U36" s="277"/>
      <c r="V36" s="277"/>
      <c r="W36" s="277"/>
      <c r="X36" s="277"/>
      <c r="Y36" s="277"/>
      <c r="Z36" s="277"/>
      <c r="AA36" s="277"/>
      <c r="AB36" s="277"/>
    </row>
    <row r="37" spans="2:28" ht="15" x14ac:dyDescent="0.2">
      <c r="B37" s="260"/>
      <c r="C37" s="290">
        <v>20</v>
      </c>
      <c r="D37" s="279" t="s">
        <v>115</v>
      </c>
      <c r="E37" s="273"/>
      <c r="F37" s="274"/>
      <c r="G37" s="275"/>
      <c r="H37" s="274"/>
      <c r="I37" s="276"/>
      <c r="J37" s="274"/>
      <c r="K37" s="145"/>
      <c r="L37" s="145"/>
      <c r="M37" s="97"/>
      <c r="O37" s="277"/>
      <c r="P37" s="277"/>
      <c r="Q37" s="277"/>
      <c r="R37" s="277"/>
      <c r="S37" s="277"/>
      <c r="T37" s="277"/>
      <c r="U37" s="277"/>
      <c r="V37" s="277"/>
      <c r="W37" s="277"/>
      <c r="X37" s="277"/>
      <c r="Y37" s="277"/>
      <c r="Z37" s="277"/>
      <c r="AA37" s="277"/>
      <c r="AB37" s="277"/>
    </row>
    <row r="38" spans="2:28" ht="15" x14ac:dyDescent="0.2">
      <c r="B38" s="260"/>
      <c r="C38" s="290">
        <v>21</v>
      </c>
      <c r="D38" s="298" t="s">
        <v>116</v>
      </c>
      <c r="E38" s="273"/>
      <c r="F38" s="274"/>
      <c r="G38" s="275"/>
      <c r="H38" s="274"/>
      <c r="I38" s="276"/>
      <c r="J38" s="274"/>
      <c r="K38" s="145"/>
      <c r="L38" s="145"/>
      <c r="M38" s="97"/>
      <c r="O38" s="277"/>
      <c r="P38" s="277"/>
      <c r="Q38" s="277"/>
      <c r="R38" s="277"/>
      <c r="S38" s="277"/>
      <c r="T38" s="277"/>
      <c r="U38" s="277"/>
      <c r="V38" s="277"/>
      <c r="W38" s="277"/>
      <c r="X38" s="277"/>
      <c r="Y38" s="277"/>
      <c r="Z38" s="277"/>
      <c r="AA38" s="277"/>
      <c r="AB38" s="277"/>
    </row>
    <row r="39" spans="2:28" ht="15" x14ac:dyDescent="0.2">
      <c r="B39" s="260"/>
      <c r="C39" s="290">
        <v>22</v>
      </c>
      <c r="D39" s="279" t="s">
        <v>117</v>
      </c>
      <c r="E39" s="273"/>
      <c r="F39" s="274"/>
      <c r="G39" s="275"/>
      <c r="H39" s="274"/>
      <c r="I39" s="276"/>
      <c r="J39" s="274"/>
      <c r="K39" s="145"/>
      <c r="L39" s="145"/>
      <c r="M39" s="97"/>
      <c r="O39" s="277"/>
      <c r="P39" s="277"/>
      <c r="Q39" s="277"/>
      <c r="R39" s="277"/>
      <c r="S39" s="277"/>
      <c r="T39" s="277"/>
      <c r="U39" s="277"/>
      <c r="V39" s="277"/>
      <c r="W39" s="277"/>
      <c r="X39" s="277"/>
      <c r="Y39" s="277"/>
      <c r="Z39" s="277"/>
      <c r="AA39" s="277"/>
      <c r="AB39" s="277"/>
    </row>
    <row r="40" spans="2:28" ht="15" x14ac:dyDescent="0.2">
      <c r="B40" s="260"/>
      <c r="C40" s="290">
        <v>23</v>
      </c>
      <c r="D40" s="279" t="s">
        <v>118</v>
      </c>
      <c r="E40" s="273"/>
      <c r="F40" s="274"/>
      <c r="G40" s="275"/>
      <c r="H40" s="274"/>
      <c r="I40" s="276"/>
      <c r="J40" s="274"/>
      <c r="K40" s="145"/>
      <c r="L40" s="145"/>
      <c r="M40" s="97"/>
      <c r="O40" s="277"/>
      <c r="P40" s="277"/>
      <c r="Q40" s="277"/>
      <c r="R40" s="277"/>
      <c r="S40" s="277"/>
      <c r="T40" s="277"/>
      <c r="U40" s="277"/>
      <c r="V40" s="277"/>
      <c r="W40" s="277"/>
      <c r="X40" s="277"/>
      <c r="Y40" s="277"/>
      <c r="Z40" s="277"/>
      <c r="AA40" s="277"/>
      <c r="AB40" s="277"/>
    </row>
    <row r="41" spans="2:28" ht="15" x14ac:dyDescent="0.2">
      <c r="B41" s="260"/>
      <c r="C41" s="290">
        <v>24</v>
      </c>
      <c r="D41" s="279" t="s">
        <v>119</v>
      </c>
      <c r="E41" s="273"/>
      <c r="F41" s="274"/>
      <c r="G41" s="275"/>
      <c r="H41" s="274"/>
      <c r="I41" s="276"/>
      <c r="J41" s="274"/>
      <c r="K41" s="145"/>
      <c r="L41" s="145"/>
      <c r="M41" s="97"/>
      <c r="O41" s="277"/>
      <c r="P41" s="277"/>
      <c r="Q41" s="277"/>
      <c r="R41" s="277"/>
      <c r="S41" s="277"/>
      <c r="T41" s="277"/>
      <c r="U41" s="277"/>
      <c r="V41" s="277"/>
      <c r="W41" s="277"/>
      <c r="X41" s="277"/>
      <c r="Y41" s="277"/>
      <c r="Z41" s="277"/>
      <c r="AA41" s="277"/>
      <c r="AB41" s="277"/>
    </row>
    <row r="42" spans="2:28" ht="15" x14ac:dyDescent="0.2">
      <c r="B42" s="260"/>
      <c r="C42" s="290">
        <v>25</v>
      </c>
      <c r="D42" s="279" t="s">
        <v>120</v>
      </c>
      <c r="E42" s="273"/>
      <c r="F42" s="274"/>
      <c r="G42" s="275"/>
      <c r="H42" s="274"/>
      <c r="I42" s="276"/>
      <c r="J42" s="274"/>
      <c r="K42" s="145"/>
      <c r="L42" s="145"/>
      <c r="M42" s="97"/>
      <c r="O42" s="277"/>
      <c r="P42" s="277"/>
      <c r="Q42" s="277"/>
      <c r="R42" s="277"/>
      <c r="S42" s="277"/>
      <c r="T42" s="277"/>
      <c r="U42" s="277"/>
      <c r="V42" s="277"/>
      <c r="W42" s="277"/>
      <c r="X42" s="277"/>
      <c r="Y42" s="277"/>
      <c r="Z42" s="277"/>
      <c r="AA42" s="277"/>
      <c r="AB42" s="277"/>
    </row>
    <row r="43" spans="2:28" ht="15" x14ac:dyDescent="0.2">
      <c r="B43" s="260"/>
      <c r="C43" s="291">
        <v>26</v>
      </c>
      <c r="D43" s="281" t="s">
        <v>121</v>
      </c>
      <c r="E43" s="273"/>
      <c r="F43" s="274"/>
      <c r="G43" s="275"/>
      <c r="H43" s="274"/>
      <c r="I43" s="276"/>
      <c r="J43" s="274"/>
      <c r="K43" s="145"/>
      <c r="L43" s="145"/>
      <c r="M43" s="97"/>
      <c r="O43" s="277"/>
      <c r="P43" s="277"/>
      <c r="Q43" s="277"/>
      <c r="R43" s="277"/>
      <c r="S43" s="277"/>
      <c r="T43" s="277"/>
      <c r="U43" s="277"/>
      <c r="V43" s="277"/>
      <c r="W43" s="277"/>
      <c r="X43" s="277"/>
      <c r="Y43" s="277"/>
      <c r="Z43" s="277"/>
      <c r="AA43" s="277"/>
      <c r="AB43" s="277"/>
    </row>
    <row r="44" spans="2:28" x14ac:dyDescent="0.2">
      <c r="B44" s="299"/>
      <c r="C44" s="144"/>
      <c r="D44" s="144"/>
      <c r="E44" s="282"/>
      <c r="F44" s="282"/>
      <c r="G44" s="282"/>
      <c r="H44" s="282"/>
      <c r="I44" s="282"/>
      <c r="J44" s="282"/>
      <c r="K44" s="145"/>
      <c r="L44" s="145"/>
      <c r="M44" s="97"/>
      <c r="O44" s="277"/>
      <c r="P44" s="277"/>
      <c r="Q44" s="277"/>
      <c r="R44" s="277"/>
      <c r="S44" s="277"/>
      <c r="T44" s="277"/>
      <c r="U44" s="277"/>
      <c r="V44" s="277"/>
      <c r="W44" s="277"/>
      <c r="X44" s="277"/>
      <c r="Y44" s="277"/>
      <c r="Z44" s="277"/>
      <c r="AA44" s="277"/>
      <c r="AB44" s="277"/>
    </row>
    <row r="45" spans="2:28" ht="15" x14ac:dyDescent="0.2">
      <c r="B45" s="260"/>
      <c r="C45" s="300"/>
      <c r="D45" s="270" t="s">
        <v>130</v>
      </c>
      <c r="E45" s="282"/>
      <c r="F45" s="282"/>
      <c r="G45" s="282"/>
      <c r="H45" s="282"/>
      <c r="I45" s="282"/>
      <c r="J45" s="282"/>
      <c r="K45" s="145"/>
      <c r="L45" s="145"/>
      <c r="M45" s="97"/>
      <c r="O45" s="277"/>
      <c r="P45" s="277"/>
      <c r="Q45" s="277"/>
      <c r="R45" s="277"/>
      <c r="S45" s="277"/>
      <c r="T45" s="277"/>
      <c r="U45" s="277"/>
      <c r="V45" s="277"/>
      <c r="W45" s="277"/>
      <c r="X45" s="277"/>
      <c r="Y45" s="277"/>
      <c r="Z45" s="277"/>
      <c r="AA45" s="277"/>
      <c r="AB45" s="277"/>
    </row>
    <row r="46" spans="2:28" ht="15" x14ac:dyDescent="0.2">
      <c r="B46" s="260"/>
      <c r="C46" s="278">
        <v>27</v>
      </c>
      <c r="D46" s="272" t="s">
        <v>122</v>
      </c>
      <c r="E46" s="273"/>
      <c r="F46" s="274"/>
      <c r="G46" s="275"/>
      <c r="H46" s="274"/>
      <c r="I46" s="274"/>
      <c r="J46" s="274"/>
      <c r="K46" s="145"/>
      <c r="L46" s="145"/>
      <c r="M46" s="97"/>
      <c r="O46" s="277"/>
      <c r="P46" s="277"/>
      <c r="Q46" s="277"/>
      <c r="R46" s="277"/>
      <c r="S46" s="277"/>
      <c r="T46" s="277"/>
      <c r="U46" s="277"/>
      <c r="V46" s="277"/>
      <c r="W46" s="277"/>
      <c r="X46" s="277"/>
      <c r="Y46" s="277"/>
      <c r="Z46" s="277"/>
      <c r="AA46" s="277"/>
      <c r="AB46" s="277"/>
    </row>
    <row r="47" spans="2:28" ht="15" x14ac:dyDescent="0.2">
      <c r="B47" s="260"/>
      <c r="C47" s="278">
        <v>28</v>
      </c>
      <c r="D47" s="279" t="s">
        <v>123</v>
      </c>
      <c r="E47" s="273"/>
      <c r="F47" s="274"/>
      <c r="G47" s="275"/>
      <c r="H47" s="274"/>
      <c r="I47" s="274"/>
      <c r="J47" s="274"/>
      <c r="K47" s="145"/>
      <c r="L47" s="145"/>
      <c r="M47" s="97"/>
      <c r="O47" s="277"/>
      <c r="P47" s="277"/>
      <c r="Q47" s="277"/>
      <c r="R47" s="277"/>
      <c r="S47" s="277"/>
      <c r="T47" s="277"/>
      <c r="U47" s="277"/>
      <c r="V47" s="277"/>
      <c r="W47" s="277"/>
      <c r="X47" s="277"/>
      <c r="Y47" s="277"/>
      <c r="Z47" s="277"/>
      <c r="AA47" s="277"/>
      <c r="AB47" s="277"/>
    </row>
    <row r="48" spans="2:28" ht="15" x14ac:dyDescent="0.2">
      <c r="B48" s="260"/>
      <c r="C48" s="278">
        <v>29</v>
      </c>
      <c r="D48" s="279" t="s">
        <v>124</v>
      </c>
      <c r="E48" s="273"/>
      <c r="F48" s="274"/>
      <c r="G48" s="275"/>
      <c r="H48" s="274"/>
      <c r="I48" s="274"/>
      <c r="J48" s="274"/>
      <c r="K48" s="145"/>
      <c r="L48" s="145"/>
      <c r="M48" s="97"/>
      <c r="O48" s="277"/>
      <c r="P48" s="277"/>
      <c r="Q48" s="277"/>
      <c r="R48" s="277"/>
      <c r="S48" s="277"/>
      <c r="T48" s="277"/>
      <c r="U48" s="277"/>
      <c r="V48" s="277"/>
      <c r="W48" s="277"/>
      <c r="X48" s="277"/>
      <c r="Y48" s="277"/>
      <c r="Z48" s="277"/>
      <c r="AA48" s="277"/>
      <c r="AB48" s="277"/>
    </row>
    <row r="49" spans="2:28" ht="15" x14ac:dyDescent="0.2">
      <c r="B49" s="260"/>
      <c r="C49" s="278">
        <v>30</v>
      </c>
      <c r="D49" s="279" t="s">
        <v>125</v>
      </c>
      <c r="E49" s="273"/>
      <c r="F49" s="274"/>
      <c r="G49" s="275"/>
      <c r="H49" s="274"/>
      <c r="I49" s="274"/>
      <c r="J49" s="274"/>
      <c r="K49" s="145"/>
      <c r="L49" s="145"/>
      <c r="M49" s="97"/>
      <c r="O49" s="277"/>
      <c r="P49" s="277"/>
      <c r="Q49" s="277"/>
      <c r="R49" s="277"/>
      <c r="S49" s="277"/>
      <c r="T49" s="277"/>
      <c r="U49" s="277"/>
      <c r="V49" s="277"/>
      <c r="W49" s="277"/>
      <c r="X49" s="277"/>
      <c r="Y49" s="277"/>
      <c r="Z49" s="277"/>
      <c r="AA49" s="277"/>
      <c r="AB49" s="277"/>
    </row>
    <row r="50" spans="2:28" ht="15" x14ac:dyDescent="0.2">
      <c r="B50" s="260"/>
      <c r="C50" s="278">
        <v>31</v>
      </c>
      <c r="D50" s="279" t="s">
        <v>126</v>
      </c>
      <c r="E50" s="273"/>
      <c r="F50" s="274"/>
      <c r="G50" s="275"/>
      <c r="H50" s="274"/>
      <c r="I50" s="274"/>
      <c r="J50" s="274"/>
      <c r="K50" s="145"/>
      <c r="L50" s="145"/>
      <c r="M50" s="97"/>
      <c r="O50" s="277"/>
      <c r="P50" s="277"/>
      <c r="Q50" s="277"/>
      <c r="R50" s="277"/>
      <c r="S50" s="277"/>
      <c r="T50" s="277"/>
      <c r="U50" s="277"/>
      <c r="V50" s="277"/>
      <c r="W50" s="277"/>
      <c r="X50" s="277"/>
      <c r="Y50" s="277"/>
      <c r="Z50" s="277"/>
      <c r="AA50" s="277"/>
      <c r="AB50" s="277"/>
    </row>
    <row r="51" spans="2:28" ht="15" x14ac:dyDescent="0.2">
      <c r="B51" s="260"/>
      <c r="C51" s="301">
        <v>32</v>
      </c>
      <c r="D51" s="281" t="s">
        <v>127</v>
      </c>
      <c r="E51" s="302"/>
      <c r="F51" s="303"/>
      <c r="G51" s="275"/>
      <c r="H51" s="303"/>
      <c r="I51" s="303"/>
      <c r="J51" s="303"/>
      <c r="K51" s="145"/>
      <c r="L51" s="145"/>
      <c r="M51" s="97"/>
      <c r="O51" s="277"/>
      <c r="P51" s="277"/>
      <c r="Q51" s="277"/>
      <c r="R51" s="277"/>
      <c r="S51" s="277"/>
      <c r="T51" s="277"/>
      <c r="U51" s="277"/>
      <c r="V51" s="277"/>
      <c r="W51" s="277"/>
      <c r="X51" s="277"/>
      <c r="Y51" s="277"/>
      <c r="Z51" s="277"/>
      <c r="AA51" s="277"/>
      <c r="AB51" s="277"/>
    </row>
    <row r="52" spans="2:28" x14ac:dyDescent="0.2">
      <c r="B52" s="260"/>
      <c r="C52" s="304"/>
      <c r="D52" s="305"/>
      <c r="E52" s="305"/>
      <c r="F52" s="305"/>
      <c r="G52" s="305"/>
      <c r="H52" s="305"/>
      <c r="I52" s="305"/>
      <c r="J52" s="305"/>
      <c r="K52" s="145"/>
      <c r="L52" s="103"/>
      <c r="M52" s="97"/>
      <c r="O52" s="277"/>
      <c r="P52" s="277"/>
      <c r="Q52" s="277"/>
      <c r="R52" s="277"/>
      <c r="S52" s="277"/>
      <c r="T52" s="277"/>
      <c r="U52" s="277"/>
      <c r="V52" s="277"/>
      <c r="W52" s="277"/>
      <c r="X52" s="277"/>
      <c r="Y52" s="277"/>
      <c r="Z52" s="277"/>
      <c r="AA52" s="277"/>
      <c r="AB52" s="277"/>
    </row>
    <row r="53" spans="2:28" ht="15" x14ac:dyDescent="0.2">
      <c r="B53" s="260"/>
      <c r="C53" s="306"/>
      <c r="D53" s="307" t="s">
        <v>9</v>
      </c>
      <c r="E53" s="308">
        <f>SUM(E14:E51)</f>
        <v>0</v>
      </c>
      <c r="F53" s="308">
        <f t="shared" ref="F53:J53" si="0">SUM(F14:F51)</f>
        <v>0</v>
      </c>
      <c r="G53" s="308">
        <f t="shared" si="0"/>
        <v>0</v>
      </c>
      <c r="H53" s="308">
        <f t="shared" si="0"/>
        <v>0</v>
      </c>
      <c r="I53" s="308">
        <f t="shared" si="0"/>
        <v>0</v>
      </c>
      <c r="J53" s="308">
        <f t="shared" si="0"/>
        <v>0</v>
      </c>
      <c r="K53" s="103"/>
      <c r="L53" s="103"/>
      <c r="M53" s="97"/>
      <c r="O53" s="277"/>
      <c r="P53" s="277"/>
      <c r="Q53" s="277"/>
      <c r="R53" s="277"/>
      <c r="S53" s="277"/>
      <c r="T53" s="277"/>
      <c r="U53" s="277"/>
      <c r="V53" s="277"/>
      <c r="W53" s="277"/>
      <c r="X53" s="277"/>
      <c r="Y53" s="277"/>
      <c r="Z53" s="277"/>
      <c r="AA53" s="277"/>
      <c r="AB53" s="277"/>
    </row>
    <row r="54" spans="2:28" x14ac:dyDescent="0.2">
      <c r="B54" s="260"/>
      <c r="C54" s="195"/>
      <c r="D54" s="145"/>
      <c r="E54" s="195"/>
      <c r="F54" s="195"/>
      <c r="G54" s="195"/>
      <c r="H54" s="145"/>
      <c r="I54" s="145"/>
      <c r="J54" s="145"/>
      <c r="K54" s="103"/>
      <c r="L54" s="103"/>
      <c r="M54" s="97"/>
      <c r="O54" s="277"/>
      <c r="P54" s="277"/>
      <c r="Q54" s="277"/>
      <c r="R54" s="277"/>
      <c r="S54" s="277"/>
      <c r="T54" s="277"/>
      <c r="U54" s="277"/>
      <c r="V54" s="277"/>
      <c r="W54" s="277"/>
      <c r="X54" s="277"/>
      <c r="Y54" s="277"/>
      <c r="Z54" s="277"/>
      <c r="AA54" s="277"/>
      <c r="AB54" s="277"/>
    </row>
    <row r="55" spans="2:28" ht="15" x14ac:dyDescent="0.2">
      <c r="B55" s="260"/>
      <c r="C55" s="306"/>
      <c r="D55" s="309" t="s">
        <v>128</v>
      </c>
      <c r="E55" s="163" t="e">
        <f>E53/(E53+H53)</f>
        <v>#DIV/0!</v>
      </c>
      <c r="F55" s="310" t="e">
        <f>E55</f>
        <v>#DIV/0!</v>
      </c>
      <c r="G55" s="311"/>
      <c r="H55" s="312"/>
      <c r="I55" s="312"/>
      <c r="J55" s="312"/>
      <c r="K55" s="103"/>
      <c r="L55" s="103"/>
      <c r="M55" s="97"/>
      <c r="O55" s="277"/>
      <c r="P55" s="277"/>
      <c r="Q55" s="277"/>
      <c r="R55" s="277"/>
      <c r="S55" s="277"/>
      <c r="T55" s="277"/>
      <c r="U55" s="277"/>
      <c r="V55" s="277"/>
      <c r="W55" s="277"/>
      <c r="X55" s="277"/>
      <c r="Y55" s="277"/>
      <c r="Z55" s="277"/>
      <c r="AA55" s="277"/>
      <c r="AB55" s="277"/>
    </row>
    <row r="56" spans="2:28" x14ac:dyDescent="0.2">
      <c r="B56" s="260"/>
      <c r="C56" s="103"/>
      <c r="D56" s="103"/>
      <c r="E56" s="103"/>
      <c r="F56" s="103"/>
      <c r="G56" s="103"/>
      <c r="H56" s="103"/>
      <c r="I56" s="103"/>
      <c r="J56" s="103"/>
      <c r="K56" s="103"/>
      <c r="L56" s="103"/>
      <c r="M56" s="97"/>
      <c r="O56" s="277"/>
      <c r="P56" s="277"/>
      <c r="Q56" s="277"/>
      <c r="R56" s="277"/>
      <c r="S56" s="277"/>
      <c r="T56" s="277"/>
      <c r="U56" s="277"/>
      <c r="V56" s="277"/>
      <c r="W56" s="277"/>
      <c r="X56" s="277"/>
      <c r="Y56" s="277"/>
      <c r="Z56" s="277"/>
      <c r="AA56" s="277"/>
      <c r="AB56" s="277"/>
    </row>
    <row r="57" spans="2:28" x14ac:dyDescent="0.2">
      <c r="B57" s="260"/>
      <c r="C57" s="103"/>
      <c r="D57" s="103"/>
      <c r="E57" s="103"/>
      <c r="F57" s="103"/>
      <c r="G57" s="103"/>
      <c r="H57" s="103"/>
      <c r="I57" s="103"/>
      <c r="J57" s="103"/>
      <c r="K57" s="103"/>
      <c r="L57" s="103"/>
      <c r="M57" s="97"/>
      <c r="O57" s="277"/>
      <c r="P57" s="277"/>
      <c r="Q57" s="277"/>
      <c r="R57" s="277"/>
      <c r="S57" s="277"/>
      <c r="T57" s="277"/>
      <c r="U57" s="277"/>
      <c r="V57" s="277"/>
      <c r="W57" s="277"/>
      <c r="X57" s="277"/>
      <c r="Y57" s="277"/>
      <c r="Z57" s="277"/>
      <c r="AA57" s="277"/>
      <c r="AB57" s="277"/>
    </row>
    <row r="58" spans="2:28" x14ac:dyDescent="0.2">
      <c r="B58" s="260"/>
      <c r="C58" s="103"/>
      <c r="D58" s="103"/>
      <c r="E58" s="103"/>
      <c r="F58" s="103"/>
      <c r="G58" s="103"/>
      <c r="H58" s="103"/>
      <c r="I58" s="103"/>
      <c r="J58" s="103"/>
      <c r="K58" s="103"/>
      <c r="L58" s="103"/>
      <c r="M58" s="97"/>
      <c r="O58" s="277"/>
      <c r="P58" s="277"/>
      <c r="Q58" s="277"/>
      <c r="R58" s="277"/>
      <c r="S58" s="277"/>
      <c r="T58" s="277"/>
      <c r="U58" s="277"/>
      <c r="V58" s="277"/>
      <c r="W58" s="277"/>
      <c r="X58" s="277"/>
      <c r="Y58" s="277"/>
      <c r="Z58" s="277"/>
      <c r="AA58" s="277"/>
      <c r="AB58" s="277"/>
    </row>
    <row r="59" spans="2:28" ht="15" x14ac:dyDescent="0.2">
      <c r="B59" s="260"/>
      <c r="C59" s="103"/>
      <c r="D59" s="169" t="s">
        <v>17</v>
      </c>
      <c r="E59" s="170"/>
      <c r="F59" s="170"/>
      <c r="G59" s="170"/>
      <c r="H59" s="170"/>
      <c r="I59" s="170"/>
      <c r="J59" s="170"/>
      <c r="K59" s="171"/>
      <c r="L59" s="103"/>
      <c r="M59" s="97"/>
      <c r="O59" s="277"/>
      <c r="P59" s="277"/>
      <c r="Q59" s="277"/>
      <c r="R59" s="277"/>
      <c r="S59" s="277"/>
      <c r="T59" s="277"/>
      <c r="U59" s="277"/>
      <c r="V59" s="277"/>
      <c r="W59" s="277"/>
      <c r="X59" s="277"/>
      <c r="Y59" s="277"/>
      <c r="Z59" s="277"/>
      <c r="AA59" s="277"/>
      <c r="AB59" s="277"/>
    </row>
    <row r="60" spans="2:28" ht="198" customHeight="1" x14ac:dyDescent="0.2">
      <c r="B60" s="260"/>
      <c r="C60" s="103"/>
      <c r="D60" s="172"/>
      <c r="E60" s="313"/>
      <c r="F60" s="313"/>
      <c r="G60" s="313"/>
      <c r="H60" s="313"/>
      <c r="I60" s="313"/>
      <c r="J60" s="313"/>
      <c r="K60" s="314"/>
      <c r="L60" s="103"/>
      <c r="M60" s="97"/>
      <c r="O60" s="277"/>
      <c r="P60" s="277"/>
      <c r="Q60" s="277"/>
      <c r="R60" s="277"/>
      <c r="S60" s="277"/>
      <c r="T60" s="277"/>
      <c r="U60" s="277"/>
      <c r="V60" s="277"/>
      <c r="W60" s="277"/>
      <c r="X60" s="277"/>
      <c r="Y60" s="277"/>
      <c r="Z60" s="277"/>
      <c r="AA60" s="277"/>
      <c r="AB60" s="277"/>
    </row>
    <row r="61" spans="2:28" x14ac:dyDescent="0.2">
      <c r="B61" s="260"/>
      <c r="C61" s="103"/>
      <c r="D61" s="103"/>
      <c r="E61" s="103"/>
      <c r="F61" s="103"/>
      <c r="G61" s="103"/>
      <c r="H61" s="103"/>
      <c r="I61" s="103"/>
      <c r="J61" s="103"/>
      <c r="K61" s="103"/>
      <c r="L61" s="103"/>
      <c r="M61" s="97"/>
      <c r="O61" s="277"/>
      <c r="P61" s="277"/>
      <c r="Q61" s="277"/>
      <c r="R61" s="277"/>
      <c r="S61" s="277"/>
      <c r="T61" s="277"/>
      <c r="U61" s="277"/>
      <c r="V61" s="277"/>
      <c r="W61" s="277"/>
      <c r="X61" s="277"/>
      <c r="Y61" s="277"/>
      <c r="Z61" s="277"/>
      <c r="AA61" s="277"/>
      <c r="AB61" s="277"/>
    </row>
    <row r="62" spans="2:28" x14ac:dyDescent="0.2">
      <c r="B62" s="260"/>
      <c r="C62" s="103"/>
      <c r="D62" s="103"/>
      <c r="E62" s="103"/>
      <c r="F62" s="103"/>
      <c r="G62" s="103"/>
      <c r="H62" s="103"/>
      <c r="I62" s="103"/>
      <c r="J62" s="103"/>
      <c r="K62" s="103"/>
      <c r="L62" s="103"/>
      <c r="M62" s="97"/>
      <c r="O62" s="277"/>
      <c r="P62" s="277"/>
      <c r="Q62" s="277"/>
      <c r="R62" s="277"/>
      <c r="S62" s="277"/>
      <c r="T62" s="277"/>
      <c r="U62" s="277"/>
      <c r="V62" s="277"/>
      <c r="W62" s="277"/>
      <c r="X62" s="277"/>
      <c r="Y62" s="277"/>
      <c r="Z62" s="277"/>
      <c r="AA62" s="277"/>
      <c r="AB62" s="277"/>
    </row>
    <row r="63" spans="2:28" x14ac:dyDescent="0.2">
      <c r="B63" s="260"/>
      <c r="C63" s="103"/>
      <c r="D63" s="103"/>
      <c r="E63" s="103"/>
      <c r="F63" s="103"/>
      <c r="G63" s="103"/>
      <c r="H63" s="103"/>
      <c r="I63" s="103"/>
      <c r="J63" s="103"/>
      <c r="K63" s="103"/>
      <c r="L63" s="103"/>
      <c r="M63" s="97"/>
      <c r="O63" s="277"/>
      <c r="P63" s="277"/>
      <c r="Q63" s="277"/>
      <c r="R63" s="277"/>
      <c r="S63" s="277"/>
      <c r="T63" s="277"/>
      <c r="U63" s="277"/>
      <c r="V63" s="277"/>
      <c r="W63" s="277"/>
      <c r="X63" s="277"/>
      <c r="Y63" s="277"/>
      <c r="Z63" s="277"/>
      <c r="AA63" s="277"/>
      <c r="AB63" s="277"/>
    </row>
    <row r="64" spans="2:28" x14ac:dyDescent="0.2">
      <c r="B64" s="260"/>
      <c r="C64" s="103"/>
      <c r="D64" s="103"/>
      <c r="E64" s="103"/>
      <c r="F64" s="103"/>
      <c r="G64" s="103"/>
      <c r="H64" s="103"/>
      <c r="I64" s="103"/>
      <c r="J64" s="103"/>
      <c r="K64" s="103"/>
      <c r="L64" s="145"/>
      <c r="M64" s="97"/>
      <c r="O64" s="277"/>
      <c r="P64" s="277"/>
      <c r="Q64" s="277"/>
      <c r="R64" s="277"/>
      <c r="S64" s="277"/>
      <c r="T64" s="277"/>
      <c r="U64" s="277"/>
      <c r="V64" s="277"/>
      <c r="W64" s="277"/>
      <c r="X64" s="277"/>
      <c r="Y64" s="277"/>
      <c r="Z64" s="277"/>
      <c r="AA64" s="277"/>
      <c r="AB64" s="277"/>
    </row>
    <row r="65" spans="2:28" ht="15" thickBot="1" x14ac:dyDescent="0.25">
      <c r="B65" s="315"/>
      <c r="C65" s="253"/>
      <c r="D65" s="316"/>
      <c r="E65" s="253"/>
      <c r="F65" s="253"/>
      <c r="G65" s="253"/>
      <c r="H65" s="316"/>
      <c r="I65" s="316"/>
      <c r="J65" s="316"/>
      <c r="K65" s="316"/>
      <c r="L65" s="177"/>
      <c r="M65" s="178"/>
      <c r="O65" s="277"/>
      <c r="P65" s="277"/>
      <c r="Q65" s="277"/>
      <c r="R65" s="277"/>
      <c r="S65" s="277"/>
      <c r="T65" s="277"/>
      <c r="U65" s="277"/>
      <c r="V65" s="277"/>
      <c r="W65" s="277"/>
      <c r="X65" s="277"/>
      <c r="Y65" s="277"/>
      <c r="Z65" s="277"/>
      <c r="AA65" s="277"/>
      <c r="AB65" s="277"/>
    </row>
    <row r="66" spans="2:28" x14ac:dyDescent="0.2">
      <c r="B66" s="317"/>
      <c r="C66" s="318"/>
      <c r="D66" s="318"/>
      <c r="E66" s="318"/>
      <c r="F66" s="318"/>
      <c r="G66" s="318"/>
      <c r="H66" s="318"/>
      <c r="I66" s="318"/>
      <c r="J66" s="318"/>
      <c r="K66" s="318"/>
      <c r="O66" s="277"/>
      <c r="P66" s="277"/>
      <c r="Q66" s="277"/>
      <c r="R66" s="277"/>
      <c r="S66" s="277"/>
      <c r="T66" s="277"/>
      <c r="U66" s="277"/>
      <c r="V66" s="277"/>
      <c r="W66" s="277"/>
      <c r="X66" s="277"/>
      <c r="Y66" s="277"/>
      <c r="Z66" s="277"/>
      <c r="AA66" s="277"/>
      <c r="AB66" s="277"/>
    </row>
    <row r="67" spans="2:28" x14ac:dyDescent="0.2">
      <c r="B67" s="317"/>
      <c r="C67" s="318"/>
      <c r="D67" s="318"/>
      <c r="E67" s="318"/>
      <c r="F67" s="318"/>
      <c r="G67" s="318"/>
      <c r="H67" s="318"/>
      <c r="I67" s="318"/>
      <c r="J67" s="318"/>
      <c r="K67" s="318"/>
    </row>
  </sheetData>
  <mergeCells count="3">
    <mergeCell ref="D4:L4"/>
    <mergeCell ref="D59:K59"/>
    <mergeCell ref="D60:K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4</xdr:col>
                    <xdr:colOff>247650</xdr:colOff>
                    <xdr:row>5</xdr:row>
                    <xdr:rowOff>171450</xdr:rowOff>
                  </from>
                  <to>
                    <xdr:col>6</xdr:col>
                    <xdr:colOff>133350</xdr:colOff>
                    <xdr:row>7</xdr:row>
                    <xdr:rowOff>257175</xdr:rowOff>
                  </to>
                </anchor>
              </controlPr>
            </control>
          </mc:Choice>
        </mc:AlternateContent>
        <mc:AlternateContent xmlns:mc="http://schemas.openxmlformats.org/markup-compatibility/2006">
          <mc:Choice Requires="x14">
            <control shapeId="7170" r:id="rId5" name="Button 2">
              <controlPr defaultSize="0" print="0" autoFill="0" autoPict="0" macro="[0]!Button2_Click">
                <anchor moveWithCells="1" sizeWithCells="1">
                  <from>
                    <xdr:col>7</xdr:col>
                    <xdr:colOff>276225</xdr:colOff>
                    <xdr:row>5</xdr:row>
                    <xdr:rowOff>171450</xdr:rowOff>
                  </from>
                  <to>
                    <xdr:col>9</xdr:col>
                    <xdr:colOff>123825</xdr:colOff>
                    <xdr:row>8</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33"/>
  <sheetViews>
    <sheetView workbookViewId="0">
      <selection activeCell="A5" sqref="A5"/>
    </sheetView>
  </sheetViews>
  <sheetFormatPr defaultRowHeight="15" x14ac:dyDescent="0.25"/>
  <cols>
    <col min="1" max="1" width="17" bestFit="1" customWidth="1"/>
    <col min="2" max="2" width="12.7109375" bestFit="1" customWidth="1"/>
    <col min="9" max="9" width="8.42578125" style="8" bestFit="1" customWidth="1"/>
    <col min="10" max="10" width="12.28515625" bestFit="1" customWidth="1"/>
    <col min="19" max="19" width="11.28515625" customWidth="1"/>
  </cols>
  <sheetData>
    <row r="1" spans="1:20" ht="36.75" customHeight="1" thickBot="1" x14ac:dyDescent="0.3">
      <c r="A1" s="1" t="s">
        <v>6</v>
      </c>
      <c r="B1" s="2" t="s">
        <v>20</v>
      </c>
      <c r="C1" s="2" t="s">
        <v>21</v>
      </c>
      <c r="D1" s="2" t="s">
        <v>22</v>
      </c>
      <c r="E1" s="2" t="s">
        <v>23</v>
      </c>
      <c r="F1" s="2" t="s">
        <v>24</v>
      </c>
      <c r="G1" s="2" t="s">
        <v>25</v>
      </c>
      <c r="H1" s="2" t="s">
        <v>26</v>
      </c>
      <c r="I1" s="3" t="s">
        <v>27</v>
      </c>
      <c r="J1" s="3" t="s">
        <v>28</v>
      </c>
      <c r="K1" s="67" t="s">
        <v>17</v>
      </c>
      <c r="L1" s="68"/>
      <c r="M1" s="68"/>
      <c r="N1" s="68"/>
      <c r="O1" s="68"/>
      <c r="P1" s="68"/>
      <c r="Q1" s="68"/>
      <c r="R1" s="69"/>
      <c r="S1" s="3" t="s">
        <v>29</v>
      </c>
      <c r="T1" s="4" t="s">
        <v>30</v>
      </c>
    </row>
    <row r="2" spans="1:20" ht="15.75" x14ac:dyDescent="0.25">
      <c r="A2" s="6" t="s">
        <v>55</v>
      </c>
      <c r="B2" s="10">
        <v>42144</v>
      </c>
      <c r="C2" s="5">
        <v>4012</v>
      </c>
      <c r="D2">
        <v>21</v>
      </c>
      <c r="E2">
        <v>0</v>
      </c>
      <c r="F2">
        <v>0</v>
      </c>
      <c r="G2">
        <v>0</v>
      </c>
      <c r="H2">
        <v>0</v>
      </c>
      <c r="I2" s="8">
        <v>1</v>
      </c>
      <c r="J2" t="s">
        <v>57</v>
      </c>
      <c r="K2" s="47" t="s">
        <v>159</v>
      </c>
      <c r="L2" s="48"/>
      <c r="M2" s="48"/>
      <c r="N2" s="48"/>
      <c r="O2" s="48"/>
      <c r="P2" s="48"/>
      <c r="Q2" s="48"/>
      <c r="R2" s="49"/>
      <c r="S2" s="11">
        <v>42144</v>
      </c>
      <c r="T2" t="s">
        <v>160</v>
      </c>
    </row>
    <row r="3" spans="1:20" ht="15.75" x14ac:dyDescent="0.25">
      <c r="A3" s="6" t="s">
        <v>55</v>
      </c>
      <c r="B3" s="10">
        <v>42144</v>
      </c>
      <c r="C3" s="5">
        <v>172507</v>
      </c>
      <c r="D3">
        <v>25</v>
      </c>
      <c r="E3">
        <v>0</v>
      </c>
      <c r="F3">
        <v>0</v>
      </c>
      <c r="G3">
        <v>0</v>
      </c>
      <c r="H3">
        <v>0</v>
      </c>
      <c r="I3" s="8">
        <v>1</v>
      </c>
      <c r="J3" t="s">
        <v>57</v>
      </c>
      <c r="K3" s="47" t="s">
        <v>161</v>
      </c>
      <c r="L3" s="48"/>
      <c r="M3" s="48"/>
      <c r="N3" s="48"/>
      <c r="O3" s="48"/>
      <c r="P3" s="48"/>
      <c r="Q3" s="48"/>
      <c r="R3" s="49"/>
      <c r="S3" s="11">
        <v>42144</v>
      </c>
      <c r="T3" t="s">
        <v>160</v>
      </c>
    </row>
    <row r="4" spans="1:20" ht="15.75" x14ac:dyDescent="0.25">
      <c r="A4" s="6" t="s">
        <v>56</v>
      </c>
      <c r="B4" s="10">
        <v>42144</v>
      </c>
      <c r="C4" s="5">
        <v>199991</v>
      </c>
      <c r="D4">
        <v>22</v>
      </c>
      <c r="E4">
        <v>1</v>
      </c>
      <c r="F4">
        <v>0</v>
      </c>
      <c r="G4">
        <v>0</v>
      </c>
      <c r="H4">
        <v>1</v>
      </c>
      <c r="I4" s="8">
        <v>0</v>
      </c>
      <c r="J4" t="s">
        <v>57</v>
      </c>
      <c r="K4" s="47" t="s">
        <v>162</v>
      </c>
      <c r="L4" s="48"/>
      <c r="M4" s="48"/>
      <c r="N4" s="48"/>
      <c r="O4" s="48"/>
      <c r="P4" s="48"/>
      <c r="Q4" s="48"/>
      <c r="R4" s="49"/>
      <c r="S4" s="11">
        <v>42144</v>
      </c>
      <c r="T4" t="s">
        <v>160</v>
      </c>
    </row>
    <row r="5" spans="1:20" ht="15.75" x14ac:dyDescent="0.25">
      <c r="A5" s="6" t="s">
        <v>56</v>
      </c>
      <c r="B5" s="10">
        <v>42144</v>
      </c>
      <c r="C5" s="5">
        <v>242435</v>
      </c>
      <c r="D5">
        <v>27</v>
      </c>
      <c r="E5">
        <v>0</v>
      </c>
      <c r="F5">
        <v>0</v>
      </c>
      <c r="G5">
        <v>0</v>
      </c>
      <c r="H5">
        <v>0</v>
      </c>
      <c r="I5" s="8">
        <v>1</v>
      </c>
      <c r="J5" t="s">
        <v>57</v>
      </c>
      <c r="K5" s="47" t="s">
        <v>163</v>
      </c>
      <c r="L5" s="48"/>
      <c r="M5" s="48"/>
      <c r="N5" s="48"/>
      <c r="O5" s="48"/>
      <c r="P5" s="48"/>
      <c r="Q5" s="48"/>
      <c r="R5" s="49"/>
      <c r="S5" s="11">
        <v>42144</v>
      </c>
      <c r="T5" t="s">
        <v>160</v>
      </c>
    </row>
    <row r="6" spans="1:20" ht="15.75" x14ac:dyDescent="0.25">
      <c r="A6" s="6" t="s">
        <v>164</v>
      </c>
      <c r="B6" s="10">
        <v>42144</v>
      </c>
      <c r="C6" s="5">
        <v>45557</v>
      </c>
      <c r="D6">
        <v>26</v>
      </c>
      <c r="E6">
        <v>0</v>
      </c>
      <c r="F6">
        <v>0</v>
      </c>
      <c r="G6">
        <v>0</v>
      </c>
      <c r="H6">
        <v>0</v>
      </c>
      <c r="I6" s="8">
        <v>1</v>
      </c>
      <c r="J6" t="s">
        <v>57</v>
      </c>
      <c r="K6" s="58" t="s">
        <v>167</v>
      </c>
      <c r="L6" s="59"/>
      <c r="M6" s="59"/>
      <c r="N6" s="59"/>
      <c r="O6" s="59"/>
      <c r="P6" s="59"/>
      <c r="Q6" s="59"/>
      <c r="R6" s="60"/>
      <c r="S6" s="11">
        <v>42144</v>
      </c>
      <c r="T6" t="s">
        <v>160</v>
      </c>
    </row>
    <row r="7" spans="1:20" ht="15.75" x14ac:dyDescent="0.25">
      <c r="A7" s="6" t="s">
        <v>164</v>
      </c>
      <c r="B7" s="10">
        <v>42144</v>
      </c>
      <c r="C7" s="5">
        <v>58957</v>
      </c>
      <c r="D7">
        <v>26</v>
      </c>
      <c r="E7">
        <v>0</v>
      </c>
      <c r="F7">
        <v>0</v>
      </c>
      <c r="G7">
        <v>0</v>
      </c>
      <c r="H7">
        <v>0</v>
      </c>
      <c r="I7" s="8">
        <v>1</v>
      </c>
      <c r="J7" t="s">
        <v>57</v>
      </c>
      <c r="K7" s="58" t="s">
        <v>168</v>
      </c>
      <c r="L7" s="59"/>
      <c r="M7" s="59"/>
      <c r="N7" s="59"/>
      <c r="O7" s="59"/>
      <c r="P7" s="59"/>
      <c r="Q7" s="59"/>
      <c r="R7" s="60"/>
      <c r="S7" s="11">
        <v>42144</v>
      </c>
      <c r="T7" t="s">
        <v>160</v>
      </c>
    </row>
    <row r="8" spans="1:20" ht="15.75" x14ac:dyDescent="0.25">
      <c r="A8" s="9" t="s">
        <v>165</v>
      </c>
      <c r="B8" s="12">
        <v>42142</v>
      </c>
      <c r="C8" s="5" t="s">
        <v>166</v>
      </c>
      <c r="D8">
        <v>8</v>
      </c>
      <c r="E8">
        <v>0</v>
      </c>
      <c r="F8">
        <v>0</v>
      </c>
      <c r="G8">
        <v>0</v>
      </c>
      <c r="H8">
        <v>0</v>
      </c>
      <c r="I8" s="8">
        <v>1</v>
      </c>
      <c r="J8" t="s">
        <v>157</v>
      </c>
      <c r="K8" s="58" t="s">
        <v>169</v>
      </c>
      <c r="L8" s="59"/>
      <c r="M8" s="59"/>
      <c r="N8" s="59"/>
      <c r="O8" s="59"/>
      <c r="P8" s="59"/>
      <c r="Q8" s="59"/>
      <c r="R8" s="60"/>
      <c r="S8" s="11">
        <v>42144</v>
      </c>
      <c r="T8" t="s">
        <v>160</v>
      </c>
    </row>
    <row r="9" spans="1:20" ht="15.75" x14ac:dyDescent="0.25">
      <c r="A9" s="9" t="s">
        <v>165</v>
      </c>
      <c r="B9" s="12">
        <v>42144</v>
      </c>
      <c r="C9" s="5">
        <v>9271</v>
      </c>
      <c r="D9">
        <v>9</v>
      </c>
      <c r="E9">
        <v>0</v>
      </c>
      <c r="F9">
        <v>0</v>
      </c>
      <c r="G9">
        <v>0</v>
      </c>
      <c r="H9">
        <v>0</v>
      </c>
      <c r="I9" s="8">
        <v>1</v>
      </c>
      <c r="J9" t="s">
        <v>157</v>
      </c>
      <c r="K9" s="58" t="s">
        <v>170</v>
      </c>
      <c r="L9" s="59"/>
      <c r="M9" s="59"/>
      <c r="N9" s="59"/>
      <c r="O9" s="59"/>
      <c r="P9" s="59"/>
      <c r="Q9" s="59"/>
      <c r="R9" s="60"/>
      <c r="S9" s="11">
        <v>42144</v>
      </c>
      <c r="T9" t="s">
        <v>160</v>
      </c>
    </row>
    <row r="10" spans="1:20" ht="15.75" x14ac:dyDescent="0.25">
      <c r="A10" s="9" t="s">
        <v>52</v>
      </c>
      <c r="B10" s="12">
        <v>42145</v>
      </c>
      <c r="C10" s="5">
        <v>6748</v>
      </c>
      <c r="D10">
        <v>8</v>
      </c>
      <c r="E10">
        <v>0</v>
      </c>
      <c r="F10">
        <v>0</v>
      </c>
      <c r="G10">
        <v>0</v>
      </c>
      <c r="H10">
        <v>0</v>
      </c>
      <c r="I10" s="8">
        <v>1</v>
      </c>
      <c r="J10" t="s">
        <v>157</v>
      </c>
      <c r="K10" s="73" t="s">
        <v>171</v>
      </c>
      <c r="L10" s="53"/>
      <c r="M10" s="53"/>
      <c r="N10" s="53"/>
      <c r="O10" s="53"/>
      <c r="P10" s="53"/>
      <c r="Q10" s="53"/>
      <c r="R10" s="54"/>
      <c r="S10" s="11">
        <v>42146</v>
      </c>
      <c r="T10" t="s">
        <v>160</v>
      </c>
    </row>
    <row r="11" spans="1:20" ht="15.75" x14ac:dyDescent="0.25">
      <c r="A11" s="9" t="s">
        <v>52</v>
      </c>
      <c r="B11" s="12">
        <v>42145</v>
      </c>
      <c r="C11" s="5">
        <v>144908</v>
      </c>
      <c r="D11">
        <v>21</v>
      </c>
      <c r="E11">
        <v>0</v>
      </c>
      <c r="F11">
        <v>0</v>
      </c>
      <c r="G11">
        <v>0</v>
      </c>
      <c r="H11">
        <v>0</v>
      </c>
      <c r="I11" s="8">
        <v>1</v>
      </c>
      <c r="J11" t="s">
        <v>157</v>
      </c>
      <c r="K11" s="73" t="s">
        <v>172</v>
      </c>
      <c r="L11" s="53"/>
      <c r="M11" s="53"/>
      <c r="N11" s="53"/>
      <c r="O11" s="53"/>
      <c r="P11" s="53"/>
      <c r="Q11" s="53"/>
      <c r="R11" s="54"/>
      <c r="S11" s="11">
        <v>42146</v>
      </c>
      <c r="T11" t="s">
        <v>160</v>
      </c>
    </row>
    <row r="12" spans="1:20" ht="15.75" x14ac:dyDescent="0.25">
      <c r="A12" s="6" t="s">
        <v>50</v>
      </c>
      <c r="B12" s="7">
        <v>42146</v>
      </c>
      <c r="C12" s="5">
        <v>122064</v>
      </c>
      <c r="D12">
        <v>9</v>
      </c>
      <c r="E12">
        <v>0</v>
      </c>
      <c r="F12">
        <v>0</v>
      </c>
      <c r="G12">
        <v>0</v>
      </c>
      <c r="H12">
        <v>0</v>
      </c>
      <c r="I12" s="8">
        <v>1</v>
      </c>
      <c r="J12" t="s">
        <v>89</v>
      </c>
      <c r="K12" s="58" t="s">
        <v>173</v>
      </c>
      <c r="L12" s="59"/>
      <c r="M12" s="59"/>
      <c r="N12" s="59"/>
      <c r="O12" s="59"/>
      <c r="P12" s="59"/>
      <c r="Q12" s="59"/>
      <c r="R12" s="60"/>
      <c r="S12" s="11">
        <v>42146</v>
      </c>
      <c r="T12" t="s">
        <v>160</v>
      </c>
    </row>
    <row r="13" spans="1:20" ht="15.75" x14ac:dyDescent="0.25">
      <c r="A13" s="6" t="s">
        <v>50</v>
      </c>
      <c r="B13" s="7">
        <v>42146</v>
      </c>
      <c r="C13" s="5">
        <v>6285</v>
      </c>
      <c r="D13">
        <v>20</v>
      </c>
      <c r="E13">
        <v>0</v>
      </c>
      <c r="F13">
        <v>0</v>
      </c>
      <c r="G13">
        <v>0</v>
      </c>
      <c r="H13">
        <v>0</v>
      </c>
      <c r="I13" s="8">
        <v>1</v>
      </c>
      <c r="J13" t="s">
        <v>89</v>
      </c>
      <c r="K13" s="58" t="s">
        <v>174</v>
      </c>
      <c r="L13" s="59"/>
      <c r="M13" s="59"/>
      <c r="N13" s="59"/>
      <c r="O13" s="59"/>
      <c r="P13" s="59"/>
      <c r="Q13" s="59"/>
      <c r="R13" s="60"/>
      <c r="S13" s="11">
        <v>42146</v>
      </c>
      <c r="T13" t="s">
        <v>160</v>
      </c>
    </row>
    <row r="14" spans="1:20" ht="15.75" x14ac:dyDescent="0.25">
      <c r="A14" s="9" t="s">
        <v>53</v>
      </c>
      <c r="B14" s="12">
        <v>42146</v>
      </c>
      <c r="C14" s="5">
        <v>152056</v>
      </c>
      <c r="D14">
        <v>8</v>
      </c>
      <c r="E14">
        <v>0</v>
      </c>
      <c r="F14">
        <v>0</v>
      </c>
      <c r="G14">
        <v>0</v>
      </c>
      <c r="H14">
        <v>0</v>
      </c>
      <c r="I14" s="8">
        <v>1</v>
      </c>
      <c r="J14" t="s">
        <v>157</v>
      </c>
      <c r="K14" s="70" t="s">
        <v>175</v>
      </c>
      <c r="L14" s="71"/>
      <c r="M14" s="71"/>
      <c r="N14" s="71"/>
      <c r="O14" s="71"/>
      <c r="P14" s="71"/>
      <c r="Q14" s="71"/>
      <c r="R14" s="72"/>
      <c r="S14" s="11">
        <v>42146</v>
      </c>
      <c r="T14" t="s">
        <v>160</v>
      </c>
    </row>
    <row r="15" spans="1:20" ht="15.75" x14ac:dyDescent="0.25">
      <c r="A15" s="9" t="s">
        <v>53</v>
      </c>
      <c r="B15" s="12">
        <v>42146</v>
      </c>
      <c r="C15" s="5">
        <v>11500</v>
      </c>
      <c r="D15">
        <v>13</v>
      </c>
      <c r="E15">
        <v>0</v>
      </c>
      <c r="F15">
        <v>0</v>
      </c>
      <c r="G15">
        <v>0</v>
      </c>
      <c r="H15">
        <v>0</v>
      </c>
      <c r="I15" s="8">
        <v>1</v>
      </c>
      <c r="J15" t="s">
        <v>157</v>
      </c>
      <c r="K15" s="70" t="s">
        <v>175</v>
      </c>
      <c r="L15" s="71"/>
      <c r="M15" s="71"/>
      <c r="N15" s="71"/>
      <c r="O15" s="71"/>
      <c r="P15" s="71"/>
      <c r="Q15" s="71"/>
      <c r="R15" s="72"/>
      <c r="S15" s="11">
        <v>42146</v>
      </c>
      <c r="T15" t="s">
        <v>160</v>
      </c>
    </row>
    <row r="16" spans="1:20" ht="15.75" x14ac:dyDescent="0.25">
      <c r="A16" s="9" t="s">
        <v>177</v>
      </c>
      <c r="B16" s="12">
        <v>42150</v>
      </c>
      <c r="C16" s="5" t="s">
        <v>178</v>
      </c>
      <c r="D16">
        <v>22</v>
      </c>
      <c r="E16">
        <v>8</v>
      </c>
      <c r="F16">
        <v>0</v>
      </c>
      <c r="G16">
        <v>0</v>
      </c>
      <c r="H16">
        <v>8</v>
      </c>
      <c r="I16" s="8">
        <v>0.73333333333333328</v>
      </c>
      <c r="J16" t="s">
        <v>157</v>
      </c>
      <c r="K16" s="58" t="s">
        <v>178</v>
      </c>
      <c r="L16" s="59"/>
      <c r="M16" s="59"/>
      <c r="N16" s="59"/>
      <c r="O16" s="59"/>
      <c r="P16" s="59"/>
      <c r="Q16" s="59"/>
      <c r="R16" s="60"/>
      <c r="S16" s="11">
        <v>42150</v>
      </c>
      <c r="T16" t="s">
        <v>179</v>
      </c>
    </row>
    <row r="17" spans="1:20" ht="15.75" x14ac:dyDescent="0.25">
      <c r="A17" s="6" t="s">
        <v>177</v>
      </c>
      <c r="B17" s="10">
        <v>42150</v>
      </c>
      <c r="C17" s="5" t="s">
        <v>178</v>
      </c>
      <c r="D17">
        <v>35</v>
      </c>
      <c r="E17">
        <v>11</v>
      </c>
      <c r="F17">
        <v>0</v>
      </c>
      <c r="G17">
        <v>0</v>
      </c>
      <c r="H17">
        <v>11</v>
      </c>
      <c r="I17" s="8">
        <v>0.76086956521739135</v>
      </c>
      <c r="J17" t="s">
        <v>57</v>
      </c>
      <c r="K17" s="47" t="s">
        <v>178</v>
      </c>
      <c r="L17" s="48"/>
      <c r="M17" s="48"/>
      <c r="N17" s="48"/>
      <c r="O17" s="48"/>
      <c r="P17" s="48"/>
      <c r="Q17" s="48"/>
      <c r="R17" s="49"/>
      <c r="S17" s="11">
        <v>42150</v>
      </c>
      <c r="T17" t="s">
        <v>179</v>
      </c>
    </row>
    <row r="18" spans="1:20" ht="15.75" x14ac:dyDescent="0.25">
      <c r="A18" s="6" t="s">
        <v>177</v>
      </c>
      <c r="B18" s="10">
        <v>42150</v>
      </c>
      <c r="C18" s="5" t="s">
        <v>178</v>
      </c>
      <c r="D18">
        <v>20</v>
      </c>
      <c r="E18">
        <v>0</v>
      </c>
      <c r="F18">
        <v>0</v>
      </c>
      <c r="G18">
        <v>0</v>
      </c>
      <c r="H18">
        <v>0</v>
      </c>
      <c r="I18" s="8">
        <v>1</v>
      </c>
      <c r="J18" t="s">
        <v>89</v>
      </c>
      <c r="K18" s="50" t="s">
        <v>178</v>
      </c>
      <c r="L18" s="51"/>
      <c r="M18" s="51"/>
      <c r="N18" s="51"/>
      <c r="O18" s="51"/>
      <c r="P18" s="51"/>
      <c r="Q18" s="51"/>
      <c r="R18" s="52"/>
      <c r="S18" s="11">
        <v>42150</v>
      </c>
      <c r="T18" t="s">
        <v>179</v>
      </c>
    </row>
    <row r="19" spans="1:20" ht="15.75" x14ac:dyDescent="0.25">
      <c r="A19" s="6" t="s">
        <v>164</v>
      </c>
      <c r="B19" s="10">
        <v>42151</v>
      </c>
      <c r="C19" s="5">
        <v>78860</v>
      </c>
      <c r="D19">
        <v>28</v>
      </c>
      <c r="E19">
        <v>1</v>
      </c>
      <c r="F19">
        <v>0</v>
      </c>
      <c r="G19">
        <v>2</v>
      </c>
      <c r="H19">
        <v>1</v>
      </c>
      <c r="I19" s="8">
        <v>0.96551724137931039</v>
      </c>
      <c r="J19" t="s">
        <v>57</v>
      </c>
      <c r="K19" s="47" t="s">
        <v>180</v>
      </c>
      <c r="L19" s="48"/>
      <c r="M19" s="48"/>
      <c r="N19" s="48"/>
      <c r="O19" s="48"/>
      <c r="P19" s="48"/>
      <c r="Q19" s="48"/>
      <c r="R19" s="49"/>
      <c r="S19" s="11">
        <v>42151</v>
      </c>
      <c r="T19" t="s">
        <v>160</v>
      </c>
    </row>
    <row r="20" spans="1:20" ht="15.75" x14ac:dyDescent="0.25">
      <c r="A20" s="6" t="s">
        <v>164</v>
      </c>
      <c r="B20" s="10">
        <v>42151</v>
      </c>
      <c r="C20" s="5">
        <v>28599</v>
      </c>
      <c r="D20">
        <v>27</v>
      </c>
      <c r="E20">
        <v>1</v>
      </c>
      <c r="F20">
        <v>0</v>
      </c>
      <c r="G20">
        <v>0</v>
      </c>
      <c r="H20">
        <v>1</v>
      </c>
      <c r="I20" s="8">
        <v>0.9642857142857143</v>
      </c>
      <c r="J20" t="s">
        <v>57</v>
      </c>
      <c r="K20" s="47" t="s">
        <v>181</v>
      </c>
      <c r="L20" s="48"/>
      <c r="M20" s="48"/>
      <c r="N20" s="48"/>
      <c r="O20" s="48"/>
      <c r="P20" s="48"/>
      <c r="Q20" s="48"/>
      <c r="R20" s="49"/>
      <c r="S20" s="11">
        <v>42151</v>
      </c>
      <c r="T20" t="s">
        <v>160</v>
      </c>
    </row>
    <row r="21" spans="1:20" ht="15.75" x14ac:dyDescent="0.25">
      <c r="A21" s="6" t="s">
        <v>55</v>
      </c>
      <c r="B21" s="10">
        <v>42151</v>
      </c>
      <c r="C21" s="5">
        <v>32418</v>
      </c>
      <c r="D21">
        <v>27</v>
      </c>
      <c r="E21">
        <v>1</v>
      </c>
      <c r="F21">
        <v>0</v>
      </c>
      <c r="G21">
        <v>0</v>
      </c>
      <c r="H21">
        <v>1</v>
      </c>
      <c r="I21" s="8">
        <v>0.9642857142857143</v>
      </c>
      <c r="J21" t="s">
        <v>57</v>
      </c>
      <c r="K21" s="47" t="s">
        <v>182</v>
      </c>
      <c r="L21" s="48"/>
      <c r="M21" s="48"/>
      <c r="N21" s="48"/>
      <c r="O21" s="48"/>
      <c r="P21" s="48"/>
      <c r="Q21" s="48"/>
      <c r="R21" s="49"/>
      <c r="S21" s="11">
        <v>42151</v>
      </c>
      <c r="T21" t="s">
        <v>160</v>
      </c>
    </row>
    <row r="22" spans="1:20" ht="15.75" x14ac:dyDescent="0.25">
      <c r="A22" s="6" t="s">
        <v>55</v>
      </c>
      <c r="B22" s="10">
        <v>42151</v>
      </c>
      <c r="C22" s="5">
        <v>9575</v>
      </c>
      <c r="D22">
        <v>28</v>
      </c>
      <c r="E22">
        <v>0</v>
      </c>
      <c r="F22">
        <v>0</v>
      </c>
      <c r="G22">
        <v>0</v>
      </c>
      <c r="H22">
        <v>0</v>
      </c>
      <c r="I22" s="8">
        <v>1</v>
      </c>
      <c r="J22" t="s">
        <v>57</v>
      </c>
      <c r="K22" s="47" t="s">
        <v>183</v>
      </c>
      <c r="L22" s="48"/>
      <c r="M22" s="48"/>
      <c r="N22" s="48"/>
      <c r="O22" s="48"/>
      <c r="P22" s="48"/>
      <c r="Q22" s="48"/>
      <c r="R22" s="49"/>
      <c r="S22" s="11">
        <v>42151</v>
      </c>
      <c r="T22" t="s">
        <v>160</v>
      </c>
    </row>
    <row r="23" spans="1:20" ht="15.75" x14ac:dyDescent="0.25">
      <c r="A23" s="6" t="s">
        <v>184</v>
      </c>
      <c r="B23" s="10">
        <v>42151</v>
      </c>
      <c r="C23" s="5">
        <v>3537</v>
      </c>
      <c r="D23">
        <v>0</v>
      </c>
      <c r="E23">
        <v>0</v>
      </c>
      <c r="F23">
        <v>0</v>
      </c>
      <c r="G23">
        <v>0</v>
      </c>
      <c r="H23">
        <v>0</v>
      </c>
      <c r="I23" s="8" t="e">
        <v>#DIV/0!</v>
      </c>
      <c r="J23" t="s">
        <v>57</v>
      </c>
      <c r="K23" s="47" t="s">
        <v>185</v>
      </c>
      <c r="L23" s="48"/>
      <c r="M23" s="48"/>
      <c r="N23" s="48"/>
      <c r="O23" s="48"/>
      <c r="P23" s="48"/>
      <c r="Q23" s="48"/>
      <c r="R23" s="49"/>
      <c r="S23" s="11">
        <v>42151</v>
      </c>
      <c r="T23" t="s">
        <v>160</v>
      </c>
    </row>
    <row r="24" spans="1:20" ht="15.75" x14ac:dyDescent="0.25">
      <c r="A24" s="6" t="s">
        <v>184</v>
      </c>
      <c r="B24" s="10">
        <v>42151</v>
      </c>
      <c r="C24" s="5">
        <v>3537</v>
      </c>
      <c r="D24">
        <v>0</v>
      </c>
      <c r="E24">
        <v>0</v>
      </c>
      <c r="F24">
        <v>0</v>
      </c>
      <c r="G24">
        <v>0</v>
      </c>
      <c r="H24">
        <v>0</v>
      </c>
      <c r="I24" s="8" t="e">
        <v>#DIV/0!</v>
      </c>
      <c r="J24" t="s">
        <v>57</v>
      </c>
      <c r="K24" s="47" t="s">
        <v>185</v>
      </c>
      <c r="L24" s="48"/>
      <c r="M24" s="48"/>
      <c r="N24" s="48"/>
      <c r="O24" s="48"/>
      <c r="P24" s="48"/>
      <c r="Q24" s="48"/>
      <c r="R24" s="49"/>
      <c r="S24" s="11">
        <v>42151</v>
      </c>
      <c r="T24" t="s">
        <v>160</v>
      </c>
    </row>
    <row r="25" spans="1:20" ht="15.75" x14ac:dyDescent="0.25">
      <c r="A25" s="9" t="s">
        <v>53</v>
      </c>
      <c r="B25" s="12">
        <v>42154</v>
      </c>
      <c r="C25" s="5">
        <v>23640</v>
      </c>
      <c r="D25">
        <v>6</v>
      </c>
      <c r="E25">
        <v>0</v>
      </c>
      <c r="F25">
        <v>0</v>
      </c>
      <c r="G25">
        <v>0</v>
      </c>
      <c r="H25">
        <v>0</v>
      </c>
      <c r="I25" s="8">
        <v>1</v>
      </c>
      <c r="J25" t="s">
        <v>157</v>
      </c>
      <c r="K25" s="58" t="s">
        <v>186</v>
      </c>
      <c r="L25" s="59"/>
      <c r="M25" s="59"/>
      <c r="N25" s="59"/>
      <c r="O25" s="59"/>
      <c r="P25" s="59"/>
      <c r="Q25" s="59"/>
      <c r="R25" s="60"/>
      <c r="S25" s="11">
        <v>42154</v>
      </c>
      <c r="T25" t="s">
        <v>160</v>
      </c>
    </row>
    <row r="26" spans="1:20" ht="15.75" x14ac:dyDescent="0.25">
      <c r="A26" s="9" t="s">
        <v>53</v>
      </c>
      <c r="B26" s="12">
        <v>42154</v>
      </c>
      <c r="C26" s="5">
        <v>36527</v>
      </c>
      <c r="D26">
        <v>13</v>
      </c>
      <c r="E26">
        <v>0</v>
      </c>
      <c r="F26">
        <v>0</v>
      </c>
      <c r="G26">
        <v>0</v>
      </c>
      <c r="H26">
        <v>0</v>
      </c>
      <c r="I26" s="8">
        <v>1</v>
      </c>
      <c r="J26" t="s">
        <v>157</v>
      </c>
      <c r="K26" s="58" t="s">
        <v>187</v>
      </c>
      <c r="L26" s="59"/>
      <c r="M26" s="59"/>
      <c r="N26" s="59"/>
      <c r="O26" s="59"/>
      <c r="P26" s="59"/>
      <c r="Q26" s="59"/>
      <c r="R26" s="60"/>
      <c r="S26" s="11">
        <v>42154</v>
      </c>
      <c r="T26" t="s">
        <v>160</v>
      </c>
    </row>
    <row r="27" spans="1:20" ht="15.75" x14ac:dyDescent="0.25">
      <c r="A27" s="9" t="s">
        <v>188</v>
      </c>
      <c r="B27" s="12">
        <v>42154</v>
      </c>
      <c r="C27" s="5">
        <v>38480</v>
      </c>
      <c r="D27">
        <v>0</v>
      </c>
      <c r="E27">
        <v>0</v>
      </c>
      <c r="F27">
        <v>0</v>
      </c>
      <c r="G27">
        <v>0</v>
      </c>
      <c r="H27">
        <v>0</v>
      </c>
      <c r="I27" s="8" t="e">
        <v>#DIV/0!</v>
      </c>
      <c r="J27" t="s">
        <v>157</v>
      </c>
      <c r="K27" s="58" t="s">
        <v>189</v>
      </c>
      <c r="L27" s="59"/>
      <c r="M27" s="59"/>
      <c r="N27" s="59"/>
      <c r="O27" s="59"/>
      <c r="P27" s="59"/>
      <c r="Q27" s="59"/>
      <c r="R27" s="60"/>
      <c r="S27" s="11">
        <v>42154</v>
      </c>
      <c r="T27" t="s">
        <v>160</v>
      </c>
    </row>
    <row r="28" spans="1:20" ht="15.75" x14ac:dyDescent="0.25">
      <c r="A28" s="9" t="s">
        <v>188</v>
      </c>
      <c r="B28" s="12">
        <v>42154</v>
      </c>
      <c r="C28" s="5">
        <v>44855</v>
      </c>
      <c r="D28">
        <v>0</v>
      </c>
      <c r="E28">
        <v>0</v>
      </c>
      <c r="F28">
        <v>0</v>
      </c>
      <c r="G28">
        <v>0</v>
      </c>
      <c r="H28">
        <v>0</v>
      </c>
      <c r="I28" s="8" t="e">
        <v>#DIV/0!</v>
      </c>
      <c r="J28" t="s">
        <v>157</v>
      </c>
      <c r="K28" s="58" t="s">
        <v>189</v>
      </c>
      <c r="L28" s="59"/>
      <c r="M28" s="59"/>
      <c r="N28" s="59"/>
      <c r="O28" s="59"/>
      <c r="P28" s="59"/>
      <c r="Q28" s="59"/>
      <c r="R28" s="60"/>
      <c r="S28" s="11">
        <v>42154</v>
      </c>
      <c r="T28" t="s">
        <v>160</v>
      </c>
    </row>
    <row r="29" spans="1:20" ht="15.75" x14ac:dyDescent="0.25">
      <c r="A29" s="9" t="s">
        <v>52</v>
      </c>
      <c r="B29" s="12">
        <v>42154</v>
      </c>
      <c r="C29" t="s">
        <v>175</v>
      </c>
      <c r="D29">
        <v>13</v>
      </c>
      <c r="E29">
        <v>0</v>
      </c>
      <c r="F29">
        <v>0</v>
      </c>
      <c r="G29">
        <v>0</v>
      </c>
      <c r="H29">
        <v>0</v>
      </c>
      <c r="I29" s="8">
        <v>1</v>
      </c>
      <c r="J29" t="s">
        <v>157</v>
      </c>
      <c r="K29" s="58" t="s">
        <v>187</v>
      </c>
      <c r="L29" s="59"/>
      <c r="M29" s="59"/>
      <c r="N29" s="59"/>
      <c r="O29" s="59"/>
      <c r="P29" s="59"/>
      <c r="Q29" s="59"/>
      <c r="R29" s="60"/>
      <c r="S29" s="11">
        <v>42154</v>
      </c>
      <c r="T29" t="s">
        <v>160</v>
      </c>
    </row>
    <row r="30" spans="1:20" ht="15.75" x14ac:dyDescent="0.25">
      <c r="A30" s="9" t="s">
        <v>52</v>
      </c>
      <c r="B30" s="12">
        <v>42154</v>
      </c>
      <c r="C30" t="s">
        <v>175</v>
      </c>
      <c r="D30">
        <v>13</v>
      </c>
      <c r="E30">
        <v>0</v>
      </c>
      <c r="F30">
        <v>0</v>
      </c>
      <c r="G30">
        <v>0</v>
      </c>
      <c r="H30">
        <v>0</v>
      </c>
      <c r="I30" s="8">
        <v>1</v>
      </c>
      <c r="J30" t="s">
        <v>157</v>
      </c>
      <c r="K30" s="58" t="s">
        <v>191</v>
      </c>
      <c r="L30" s="59"/>
      <c r="M30" s="59"/>
      <c r="N30" s="59"/>
      <c r="O30" s="59"/>
      <c r="P30" s="59"/>
      <c r="Q30" s="59"/>
      <c r="R30" s="60"/>
      <c r="S30" s="11">
        <v>42154</v>
      </c>
      <c r="T30" t="s">
        <v>160</v>
      </c>
    </row>
    <row r="31" spans="1:20" ht="15.75" x14ac:dyDescent="0.25">
      <c r="A31" s="9" t="s">
        <v>190</v>
      </c>
      <c r="B31" s="12">
        <v>42154</v>
      </c>
      <c r="C31" t="s">
        <v>175</v>
      </c>
      <c r="D31">
        <v>13</v>
      </c>
      <c r="E31">
        <v>0</v>
      </c>
      <c r="F31">
        <v>0</v>
      </c>
      <c r="G31">
        <v>0</v>
      </c>
      <c r="H31">
        <v>0</v>
      </c>
      <c r="I31" s="8">
        <v>1</v>
      </c>
      <c r="J31" t="s">
        <v>157</v>
      </c>
      <c r="K31" s="58" t="s">
        <v>192</v>
      </c>
      <c r="L31" s="59"/>
      <c r="M31" s="59"/>
      <c r="N31" s="59"/>
      <c r="O31" s="59"/>
      <c r="P31" s="59"/>
      <c r="Q31" s="59"/>
      <c r="R31" s="60"/>
      <c r="S31" s="11">
        <v>42154</v>
      </c>
      <c r="T31" t="s">
        <v>160</v>
      </c>
    </row>
    <row r="32" spans="1:20" ht="16.5" thickBot="1" x14ac:dyDescent="0.3">
      <c r="A32" s="13" t="s">
        <v>190</v>
      </c>
      <c r="B32" s="14">
        <v>42154</v>
      </c>
      <c r="C32" t="s">
        <v>175</v>
      </c>
      <c r="D32">
        <v>13</v>
      </c>
      <c r="E32">
        <v>0</v>
      </c>
      <c r="F32">
        <v>0</v>
      </c>
      <c r="G32">
        <v>0</v>
      </c>
      <c r="H32">
        <v>0</v>
      </c>
      <c r="I32" s="8">
        <v>1</v>
      </c>
      <c r="J32" t="s">
        <v>157</v>
      </c>
      <c r="K32" s="64" t="s">
        <v>175</v>
      </c>
      <c r="L32" s="65"/>
      <c r="M32" s="65"/>
      <c r="N32" s="65"/>
      <c r="O32" s="65"/>
      <c r="P32" s="65"/>
      <c r="Q32" s="65"/>
      <c r="R32" s="66"/>
      <c r="S32" s="11">
        <v>42154</v>
      </c>
      <c r="T32" t="s">
        <v>160</v>
      </c>
    </row>
    <row r="33" spans="1:20" s="18" customFormat="1" ht="15.75" x14ac:dyDescent="0.25">
      <c r="A33" s="15" t="s">
        <v>193</v>
      </c>
      <c r="B33" s="16">
        <v>42167</v>
      </c>
      <c r="C33" s="17">
        <v>113290</v>
      </c>
      <c r="D33" s="18">
        <v>8</v>
      </c>
      <c r="E33" s="18">
        <v>0</v>
      </c>
      <c r="F33" s="18">
        <v>0</v>
      </c>
      <c r="G33" s="18">
        <v>0</v>
      </c>
      <c r="H33" s="18">
        <v>0</v>
      </c>
      <c r="I33" s="19">
        <v>1</v>
      </c>
      <c r="J33" s="18" t="s">
        <v>157</v>
      </c>
      <c r="K33" s="61" t="s">
        <v>194</v>
      </c>
      <c r="L33" s="62"/>
      <c r="M33" s="62"/>
      <c r="N33" s="62"/>
      <c r="O33" s="62"/>
      <c r="P33" s="62"/>
      <c r="Q33" s="62"/>
      <c r="R33" s="63"/>
      <c r="S33" s="20">
        <v>42167</v>
      </c>
      <c r="T33" s="18" t="s">
        <v>160</v>
      </c>
    </row>
    <row r="34" spans="1:20" s="22" customFormat="1" ht="15.75" x14ac:dyDescent="0.25">
      <c r="A34" s="21" t="s">
        <v>53</v>
      </c>
      <c r="B34" s="12">
        <v>42167</v>
      </c>
      <c r="C34" s="5">
        <v>113290</v>
      </c>
      <c r="D34" s="22">
        <v>8</v>
      </c>
      <c r="E34" s="22">
        <v>1</v>
      </c>
      <c r="F34" s="22">
        <v>0</v>
      </c>
      <c r="G34" s="22">
        <v>0</v>
      </c>
      <c r="H34" s="22">
        <v>0</v>
      </c>
      <c r="I34" s="23">
        <v>1</v>
      </c>
      <c r="J34" s="22" t="s">
        <v>157</v>
      </c>
      <c r="K34" s="58" t="s">
        <v>195</v>
      </c>
      <c r="L34" s="59"/>
      <c r="M34" s="59"/>
      <c r="N34" s="59"/>
      <c r="O34" s="59"/>
      <c r="P34" s="59"/>
      <c r="Q34" s="59"/>
      <c r="R34" s="60"/>
      <c r="S34" s="24">
        <v>42167</v>
      </c>
      <c r="T34" s="22" t="s">
        <v>160</v>
      </c>
    </row>
    <row r="35" spans="1:20" s="22" customFormat="1" ht="15.75" x14ac:dyDescent="0.25">
      <c r="A35" s="21" t="s">
        <v>52</v>
      </c>
      <c r="B35" s="12">
        <v>42167</v>
      </c>
      <c r="C35" s="5">
        <v>15042</v>
      </c>
      <c r="D35" s="22">
        <v>12</v>
      </c>
      <c r="E35" s="22">
        <v>0</v>
      </c>
      <c r="F35" s="22">
        <v>0</v>
      </c>
      <c r="G35" s="22">
        <v>0</v>
      </c>
      <c r="H35" s="22">
        <v>0</v>
      </c>
      <c r="I35" s="23">
        <v>1</v>
      </c>
      <c r="J35" s="22" t="s">
        <v>157</v>
      </c>
      <c r="K35" s="58" t="s">
        <v>196</v>
      </c>
      <c r="L35" s="59"/>
      <c r="M35" s="59"/>
      <c r="N35" s="59"/>
      <c r="O35" s="59"/>
      <c r="P35" s="59"/>
      <c r="Q35" s="59"/>
      <c r="R35" s="60"/>
      <c r="S35" s="24">
        <v>42167</v>
      </c>
      <c r="T35" s="22" t="s">
        <v>160</v>
      </c>
    </row>
    <row r="36" spans="1:20" s="22" customFormat="1" ht="15.75" x14ac:dyDescent="0.25">
      <c r="A36" s="21" t="s">
        <v>52</v>
      </c>
      <c r="B36" s="12">
        <v>42167</v>
      </c>
      <c r="C36" s="5">
        <v>109921</v>
      </c>
      <c r="D36" s="22">
        <v>12</v>
      </c>
      <c r="E36" s="22">
        <v>0</v>
      </c>
      <c r="F36" s="22">
        <v>0</v>
      </c>
      <c r="G36" s="22">
        <v>0</v>
      </c>
      <c r="H36" s="22">
        <v>0</v>
      </c>
      <c r="I36" s="23">
        <v>1</v>
      </c>
      <c r="J36" s="22" t="s">
        <v>157</v>
      </c>
      <c r="K36" s="58" t="s">
        <v>197</v>
      </c>
      <c r="L36" s="59"/>
      <c r="M36" s="59"/>
      <c r="N36" s="59"/>
      <c r="O36" s="59"/>
      <c r="P36" s="59"/>
      <c r="Q36" s="59"/>
      <c r="R36" s="60"/>
      <c r="S36" s="24">
        <v>42167</v>
      </c>
      <c r="T36" s="22" t="s">
        <v>160</v>
      </c>
    </row>
    <row r="37" spans="1:20" s="22" customFormat="1" ht="15.75" x14ac:dyDescent="0.25">
      <c r="A37" s="21" t="s">
        <v>165</v>
      </c>
      <c r="B37" s="12">
        <v>42167</v>
      </c>
      <c r="C37" s="5">
        <v>3522</v>
      </c>
      <c r="D37" s="22">
        <v>12</v>
      </c>
      <c r="E37" s="22">
        <v>0</v>
      </c>
      <c r="F37" s="22">
        <v>0</v>
      </c>
      <c r="G37" s="22">
        <v>0</v>
      </c>
      <c r="H37" s="22">
        <v>0</v>
      </c>
      <c r="I37" s="23">
        <v>1</v>
      </c>
      <c r="J37" s="22" t="s">
        <v>157</v>
      </c>
      <c r="K37" s="58" t="s">
        <v>198</v>
      </c>
      <c r="L37" s="59"/>
      <c r="M37" s="59"/>
      <c r="N37" s="59"/>
      <c r="O37" s="59"/>
      <c r="P37" s="59"/>
      <c r="Q37" s="59"/>
      <c r="R37" s="60"/>
      <c r="S37" s="24">
        <v>42167</v>
      </c>
      <c r="T37" s="22" t="s">
        <v>160</v>
      </c>
    </row>
    <row r="38" spans="1:20" s="22" customFormat="1" ht="15.75" x14ac:dyDescent="0.25">
      <c r="A38" s="21" t="s">
        <v>165</v>
      </c>
      <c r="B38" s="12">
        <v>42167</v>
      </c>
      <c r="C38" s="5">
        <v>116875</v>
      </c>
      <c r="D38" s="22">
        <v>8</v>
      </c>
      <c r="E38" s="22">
        <v>0</v>
      </c>
      <c r="F38" s="22">
        <v>0</v>
      </c>
      <c r="G38" s="22">
        <v>0</v>
      </c>
      <c r="H38" s="22">
        <v>0</v>
      </c>
      <c r="I38" s="23">
        <v>1</v>
      </c>
      <c r="J38" s="22" t="s">
        <v>157</v>
      </c>
      <c r="K38" s="50" t="s">
        <v>199</v>
      </c>
      <c r="L38" s="51"/>
      <c r="M38" s="51"/>
      <c r="N38" s="51"/>
      <c r="O38" s="51"/>
      <c r="P38" s="51"/>
      <c r="Q38" s="51"/>
      <c r="R38" s="52"/>
      <c r="S38" s="24">
        <v>42167</v>
      </c>
      <c r="T38" s="22" t="s">
        <v>160</v>
      </c>
    </row>
    <row r="39" spans="1:20" s="22" customFormat="1" ht="15.75" x14ac:dyDescent="0.25">
      <c r="A39" s="25" t="s">
        <v>50</v>
      </c>
      <c r="B39" s="10">
        <v>42167</v>
      </c>
      <c r="C39" s="5">
        <v>14751</v>
      </c>
      <c r="D39" s="22">
        <v>19</v>
      </c>
      <c r="E39" s="22">
        <v>0</v>
      </c>
      <c r="F39" s="22">
        <v>0</v>
      </c>
      <c r="G39" s="22">
        <v>0</v>
      </c>
      <c r="H39" s="22">
        <v>0</v>
      </c>
      <c r="I39" s="23">
        <v>1</v>
      </c>
      <c r="J39" s="22" t="s">
        <v>89</v>
      </c>
      <c r="K39" s="50" t="s">
        <v>200</v>
      </c>
      <c r="L39" s="51"/>
      <c r="M39" s="51"/>
      <c r="N39" s="51"/>
      <c r="O39" s="51"/>
      <c r="P39" s="51"/>
      <c r="Q39" s="51"/>
      <c r="R39" s="52"/>
      <c r="S39" s="24">
        <v>42167</v>
      </c>
      <c r="T39" s="22" t="s">
        <v>160</v>
      </c>
    </row>
    <row r="40" spans="1:20" s="22" customFormat="1" ht="15.75" x14ac:dyDescent="0.25">
      <c r="A40" s="25" t="s">
        <v>50</v>
      </c>
      <c r="B40" s="10">
        <v>42167</v>
      </c>
      <c r="C40" s="5">
        <v>195692</v>
      </c>
      <c r="D40" s="22">
        <v>19</v>
      </c>
      <c r="E40" s="22">
        <v>0</v>
      </c>
      <c r="F40" s="22">
        <v>0</v>
      </c>
      <c r="G40" s="22">
        <v>0</v>
      </c>
      <c r="H40" s="22">
        <v>0</v>
      </c>
      <c r="I40" s="23">
        <v>1</v>
      </c>
      <c r="J40" s="22" t="s">
        <v>89</v>
      </c>
      <c r="K40" s="47" t="s">
        <v>201</v>
      </c>
      <c r="L40" s="48"/>
      <c r="M40" s="48"/>
      <c r="N40" s="48"/>
      <c r="O40" s="48"/>
      <c r="P40" s="48"/>
      <c r="Q40" s="48"/>
      <c r="R40" s="49"/>
      <c r="S40" s="24">
        <v>42167</v>
      </c>
      <c r="T40" s="22" t="s">
        <v>160</v>
      </c>
    </row>
    <row r="41" spans="1:20" s="22" customFormat="1" ht="15.75" x14ac:dyDescent="0.25">
      <c r="A41" s="25" t="s">
        <v>55</v>
      </c>
      <c r="B41" s="10">
        <v>42167</v>
      </c>
      <c r="C41" s="5">
        <v>200948</v>
      </c>
      <c r="D41" s="22">
        <v>27</v>
      </c>
      <c r="E41" s="22">
        <v>0</v>
      </c>
      <c r="F41" s="22">
        <v>0</v>
      </c>
      <c r="G41" s="22">
        <v>0</v>
      </c>
      <c r="H41" s="22">
        <v>0</v>
      </c>
      <c r="I41" s="23">
        <v>1</v>
      </c>
      <c r="J41" s="22" t="s">
        <v>57</v>
      </c>
      <c r="K41" s="47" t="s">
        <v>201</v>
      </c>
      <c r="L41" s="48"/>
      <c r="M41" s="48"/>
      <c r="N41" s="48"/>
      <c r="O41" s="48"/>
      <c r="P41" s="48"/>
      <c r="Q41" s="48"/>
      <c r="R41" s="49"/>
      <c r="S41" s="24">
        <v>42167</v>
      </c>
      <c r="T41" s="22" t="s">
        <v>160</v>
      </c>
    </row>
    <row r="42" spans="1:20" s="22" customFormat="1" ht="15.75" x14ac:dyDescent="0.25">
      <c r="A42" s="25" t="s">
        <v>55</v>
      </c>
      <c r="B42" s="10">
        <v>42167</v>
      </c>
      <c r="C42" s="5">
        <v>50377</v>
      </c>
      <c r="D42" s="22">
        <v>28</v>
      </c>
      <c r="E42" s="22">
        <v>0</v>
      </c>
      <c r="F42" s="22">
        <v>0</v>
      </c>
      <c r="G42" s="22">
        <v>0</v>
      </c>
      <c r="H42" s="22">
        <v>0</v>
      </c>
      <c r="I42" s="23">
        <v>1</v>
      </c>
      <c r="J42" s="22" t="s">
        <v>57</v>
      </c>
      <c r="K42" s="47" t="s">
        <v>202</v>
      </c>
      <c r="L42" s="48"/>
      <c r="M42" s="48"/>
      <c r="N42" s="48"/>
      <c r="O42" s="48"/>
      <c r="P42" s="48"/>
      <c r="Q42" s="48"/>
      <c r="R42" s="49"/>
      <c r="S42" s="24">
        <v>42167</v>
      </c>
      <c r="T42" s="22" t="s">
        <v>160</v>
      </c>
    </row>
    <row r="43" spans="1:20" s="22" customFormat="1" ht="15.75" x14ac:dyDescent="0.25">
      <c r="A43" s="25" t="s">
        <v>164</v>
      </c>
      <c r="B43" s="10">
        <v>42167</v>
      </c>
      <c r="C43" s="22" t="s">
        <v>175</v>
      </c>
      <c r="D43" s="22">
        <v>0</v>
      </c>
      <c r="E43" s="22">
        <v>0</v>
      </c>
      <c r="F43" s="22">
        <v>0</v>
      </c>
      <c r="G43" s="22">
        <v>0</v>
      </c>
      <c r="H43" s="22">
        <v>0</v>
      </c>
      <c r="I43" s="23" t="e">
        <v>#DIV/0!</v>
      </c>
      <c r="J43" s="22" t="s">
        <v>57</v>
      </c>
      <c r="K43" s="47" t="s">
        <v>202</v>
      </c>
      <c r="L43" s="48"/>
      <c r="M43" s="48"/>
      <c r="N43" s="48"/>
      <c r="O43" s="48"/>
      <c r="P43" s="48"/>
      <c r="Q43" s="48"/>
      <c r="R43" s="49"/>
      <c r="S43" s="24">
        <v>42167</v>
      </c>
      <c r="T43" s="22" t="s">
        <v>160</v>
      </c>
    </row>
    <row r="44" spans="1:20" s="28" customFormat="1" ht="16.5" thickBot="1" x14ac:dyDescent="0.3">
      <c r="A44" s="26" t="s">
        <v>164</v>
      </c>
      <c r="B44" s="27">
        <v>42167</v>
      </c>
      <c r="C44" s="28" t="s">
        <v>175</v>
      </c>
      <c r="D44" s="28">
        <v>0</v>
      </c>
      <c r="E44" s="28">
        <v>0</v>
      </c>
      <c r="F44" s="28">
        <v>0</v>
      </c>
      <c r="G44" s="28">
        <v>0</v>
      </c>
      <c r="H44" s="28">
        <v>0</v>
      </c>
      <c r="I44" s="29" t="e">
        <v>#DIV/0!</v>
      </c>
      <c r="J44" s="28" t="s">
        <v>57</v>
      </c>
      <c r="K44" s="28" t="s">
        <v>175</v>
      </c>
      <c r="S44" s="30">
        <v>42167</v>
      </c>
      <c r="T44" s="28" t="s">
        <v>160</v>
      </c>
    </row>
    <row r="45" spans="1:20" ht="15.75" x14ac:dyDescent="0.25">
      <c r="A45" s="9" t="s">
        <v>53</v>
      </c>
      <c r="B45" s="12">
        <v>42174</v>
      </c>
      <c r="C45" s="5">
        <v>8212</v>
      </c>
      <c r="D45">
        <v>13</v>
      </c>
      <c r="E45">
        <v>0</v>
      </c>
      <c r="F45">
        <v>0</v>
      </c>
      <c r="G45">
        <v>0</v>
      </c>
      <c r="H45">
        <v>0</v>
      </c>
      <c r="I45" s="8">
        <v>1</v>
      </c>
      <c r="J45" t="s">
        <v>157</v>
      </c>
      <c r="K45" s="58" t="s">
        <v>203</v>
      </c>
      <c r="L45" s="59"/>
      <c r="M45" s="59"/>
      <c r="N45" s="59"/>
      <c r="O45" s="59"/>
      <c r="P45" s="59"/>
      <c r="Q45" s="59"/>
      <c r="R45" s="60"/>
      <c r="S45" s="11">
        <v>42174</v>
      </c>
      <c r="T45" t="s">
        <v>160</v>
      </c>
    </row>
    <row r="46" spans="1:20" ht="15.75" x14ac:dyDescent="0.25">
      <c r="A46" s="9" t="s">
        <v>53</v>
      </c>
      <c r="B46" s="12">
        <v>42174</v>
      </c>
      <c r="C46" s="5">
        <v>15270</v>
      </c>
      <c r="D46">
        <v>13</v>
      </c>
      <c r="E46">
        <v>0</v>
      </c>
      <c r="F46">
        <v>0</v>
      </c>
      <c r="G46">
        <v>0</v>
      </c>
      <c r="H46">
        <v>0</v>
      </c>
      <c r="I46" s="8">
        <v>1</v>
      </c>
      <c r="J46" t="s">
        <v>157</v>
      </c>
      <c r="K46" s="58" t="s">
        <v>203</v>
      </c>
      <c r="L46" s="59"/>
      <c r="M46" s="59"/>
      <c r="N46" s="59"/>
      <c r="O46" s="59"/>
      <c r="P46" s="59"/>
      <c r="Q46" s="59"/>
      <c r="R46" s="60"/>
      <c r="S46" s="11">
        <v>42174</v>
      </c>
      <c r="T46" t="s">
        <v>160</v>
      </c>
    </row>
    <row r="47" spans="1:20" ht="15.75" x14ac:dyDescent="0.25">
      <c r="A47" s="9" t="s">
        <v>52</v>
      </c>
      <c r="B47" s="12">
        <v>42174</v>
      </c>
      <c r="C47" s="5">
        <v>169551</v>
      </c>
      <c r="D47">
        <v>12</v>
      </c>
      <c r="E47">
        <v>0</v>
      </c>
      <c r="F47">
        <v>0</v>
      </c>
      <c r="G47">
        <v>0</v>
      </c>
      <c r="H47">
        <v>0</v>
      </c>
      <c r="I47" s="8">
        <v>1</v>
      </c>
      <c r="J47" t="s">
        <v>157</v>
      </c>
      <c r="K47" s="58" t="s">
        <v>203</v>
      </c>
      <c r="L47" s="59"/>
      <c r="M47" s="59"/>
      <c r="N47" s="59"/>
      <c r="O47" s="59"/>
      <c r="P47" s="59"/>
      <c r="Q47" s="59"/>
      <c r="R47" s="60"/>
      <c r="S47" s="11">
        <v>42174</v>
      </c>
      <c r="T47" t="s">
        <v>160</v>
      </c>
    </row>
    <row r="48" spans="1:20" ht="15.75" x14ac:dyDescent="0.25">
      <c r="A48" s="9" t="s">
        <v>52</v>
      </c>
      <c r="B48" s="12">
        <v>42174</v>
      </c>
      <c r="C48" s="5">
        <v>167528</v>
      </c>
      <c r="D48">
        <v>11</v>
      </c>
      <c r="E48">
        <v>0</v>
      </c>
      <c r="F48">
        <v>0</v>
      </c>
      <c r="G48">
        <v>0</v>
      </c>
      <c r="H48">
        <v>0</v>
      </c>
      <c r="I48" s="8">
        <v>1</v>
      </c>
      <c r="J48" t="s">
        <v>157</v>
      </c>
      <c r="K48" s="58" t="s">
        <v>203</v>
      </c>
      <c r="L48" s="59"/>
      <c r="M48" s="59"/>
      <c r="N48" s="59"/>
      <c r="O48" s="59"/>
      <c r="P48" s="59"/>
      <c r="Q48" s="59"/>
      <c r="R48" s="60"/>
      <c r="S48" s="11">
        <v>42174</v>
      </c>
      <c r="T48" t="s">
        <v>160</v>
      </c>
    </row>
    <row r="49" spans="1:20" ht="15.75" x14ac:dyDescent="0.25">
      <c r="A49" s="9" t="s">
        <v>165</v>
      </c>
      <c r="B49" s="12">
        <v>42174</v>
      </c>
      <c r="C49" s="5">
        <v>66184</v>
      </c>
      <c r="D49">
        <v>13</v>
      </c>
      <c r="E49">
        <v>0</v>
      </c>
      <c r="F49">
        <v>0</v>
      </c>
      <c r="G49">
        <v>0</v>
      </c>
      <c r="H49">
        <v>0</v>
      </c>
      <c r="I49" s="8">
        <v>1</v>
      </c>
      <c r="J49" t="s">
        <v>157</v>
      </c>
      <c r="K49" s="58" t="s">
        <v>203</v>
      </c>
      <c r="L49" s="59"/>
      <c r="M49" s="59"/>
      <c r="N49" s="59"/>
      <c r="O49" s="59"/>
      <c r="P49" s="59"/>
      <c r="Q49" s="59"/>
      <c r="R49" s="60"/>
      <c r="S49" s="11">
        <v>42174</v>
      </c>
      <c r="T49" t="s">
        <v>160</v>
      </c>
    </row>
    <row r="50" spans="1:20" ht="15.75" x14ac:dyDescent="0.25">
      <c r="A50" s="9" t="s">
        <v>165</v>
      </c>
      <c r="B50" s="12">
        <v>42174</v>
      </c>
      <c r="C50" s="5">
        <v>14930</v>
      </c>
      <c r="D50">
        <v>13</v>
      </c>
      <c r="E50">
        <v>0</v>
      </c>
      <c r="F50">
        <v>0</v>
      </c>
      <c r="G50">
        <v>0</v>
      </c>
      <c r="H50">
        <v>0</v>
      </c>
      <c r="I50" s="8">
        <v>1</v>
      </c>
      <c r="J50" t="s">
        <v>157</v>
      </c>
      <c r="K50" s="58" t="s">
        <v>203</v>
      </c>
      <c r="L50" s="59"/>
      <c r="M50" s="59"/>
      <c r="N50" s="59"/>
      <c r="O50" s="59"/>
      <c r="P50" s="59"/>
      <c r="Q50" s="59"/>
      <c r="R50" s="60"/>
      <c r="S50" s="11">
        <v>42174</v>
      </c>
      <c r="T50" t="s">
        <v>160</v>
      </c>
    </row>
    <row r="51" spans="1:20" ht="15.75" x14ac:dyDescent="0.25">
      <c r="A51" s="6" t="s">
        <v>50</v>
      </c>
      <c r="B51" s="10">
        <v>42174</v>
      </c>
      <c r="C51" s="5">
        <v>9641</v>
      </c>
      <c r="D51">
        <v>18</v>
      </c>
      <c r="E51">
        <v>0</v>
      </c>
      <c r="F51">
        <v>0</v>
      </c>
      <c r="G51">
        <v>0</v>
      </c>
      <c r="H51">
        <v>0</v>
      </c>
      <c r="I51" s="8">
        <v>1</v>
      </c>
      <c r="J51" t="s">
        <v>89</v>
      </c>
      <c r="K51" s="58" t="s">
        <v>203</v>
      </c>
      <c r="L51" s="59"/>
      <c r="M51" s="59"/>
      <c r="N51" s="59"/>
      <c r="O51" s="59"/>
      <c r="P51" s="59"/>
      <c r="Q51" s="59"/>
      <c r="R51" s="60"/>
      <c r="S51" s="11">
        <v>42174</v>
      </c>
      <c r="T51" t="s">
        <v>160</v>
      </c>
    </row>
    <row r="52" spans="1:20" ht="15.75" x14ac:dyDescent="0.25">
      <c r="A52" s="6" t="s">
        <v>50</v>
      </c>
      <c r="B52" s="10">
        <v>42174</v>
      </c>
      <c r="C52" s="5">
        <v>14751</v>
      </c>
      <c r="D52">
        <v>17</v>
      </c>
      <c r="E52">
        <v>0</v>
      </c>
      <c r="F52">
        <v>0</v>
      </c>
      <c r="G52">
        <v>1</v>
      </c>
      <c r="H52">
        <v>0</v>
      </c>
      <c r="I52" s="8">
        <v>1</v>
      </c>
      <c r="J52" t="s">
        <v>89</v>
      </c>
      <c r="K52" s="47" t="s">
        <v>203</v>
      </c>
      <c r="L52" s="48"/>
      <c r="M52" s="48"/>
      <c r="N52" s="48"/>
      <c r="O52" s="48"/>
      <c r="P52" s="48"/>
      <c r="Q52" s="48"/>
      <c r="R52" s="49"/>
      <c r="S52" s="11">
        <v>42174</v>
      </c>
      <c r="T52" t="s">
        <v>160</v>
      </c>
    </row>
    <row r="53" spans="1:20" ht="15.75" x14ac:dyDescent="0.25">
      <c r="A53" s="6" t="s">
        <v>55</v>
      </c>
      <c r="B53" s="10">
        <v>42174</v>
      </c>
      <c r="C53" s="5">
        <v>196943</v>
      </c>
      <c r="D53">
        <v>25</v>
      </c>
      <c r="E53">
        <v>0</v>
      </c>
      <c r="F53">
        <v>0</v>
      </c>
      <c r="G53">
        <v>0</v>
      </c>
      <c r="H53">
        <v>0</v>
      </c>
      <c r="I53" s="8">
        <v>1</v>
      </c>
      <c r="J53" t="s">
        <v>57</v>
      </c>
      <c r="K53" s="47" t="s">
        <v>203</v>
      </c>
      <c r="L53" s="48"/>
      <c r="M53" s="48"/>
      <c r="N53" s="48"/>
      <c r="O53" s="48"/>
      <c r="P53" s="48"/>
      <c r="Q53" s="48"/>
      <c r="R53" s="49"/>
      <c r="S53" s="11">
        <v>42174</v>
      </c>
      <c r="T53" t="s">
        <v>160</v>
      </c>
    </row>
    <row r="54" spans="1:20" ht="15.75" x14ac:dyDescent="0.25">
      <c r="A54" s="6" t="s">
        <v>55</v>
      </c>
      <c r="B54" s="10">
        <v>42174</v>
      </c>
      <c r="C54" s="5">
        <v>200948</v>
      </c>
      <c r="D54">
        <v>25</v>
      </c>
      <c r="E54">
        <v>0</v>
      </c>
      <c r="F54">
        <v>0</v>
      </c>
      <c r="G54">
        <v>2</v>
      </c>
      <c r="H54">
        <v>0</v>
      </c>
      <c r="I54" s="8">
        <v>1</v>
      </c>
      <c r="J54" t="s">
        <v>57</v>
      </c>
      <c r="K54" s="47" t="s">
        <v>203</v>
      </c>
      <c r="L54" s="48"/>
      <c r="M54" s="48"/>
      <c r="N54" s="48"/>
      <c r="O54" s="48"/>
      <c r="P54" s="48"/>
      <c r="Q54" s="48"/>
      <c r="R54" s="49"/>
      <c r="S54" s="11">
        <v>42174</v>
      </c>
      <c r="T54" t="s">
        <v>160</v>
      </c>
    </row>
    <row r="55" spans="1:20" ht="15.75" x14ac:dyDescent="0.25">
      <c r="A55" s="9" t="s">
        <v>165</v>
      </c>
      <c r="B55" s="12">
        <v>42180</v>
      </c>
      <c r="C55" s="5">
        <v>7338</v>
      </c>
      <c r="D55">
        <v>7</v>
      </c>
      <c r="E55">
        <v>1</v>
      </c>
      <c r="F55">
        <v>0</v>
      </c>
      <c r="G55">
        <v>1</v>
      </c>
      <c r="H55">
        <v>0</v>
      </c>
      <c r="I55" s="8">
        <v>1</v>
      </c>
      <c r="J55" t="s">
        <v>157</v>
      </c>
      <c r="K55" s="58" t="s">
        <v>204</v>
      </c>
      <c r="L55" s="59"/>
      <c r="M55" s="59"/>
      <c r="N55" s="59"/>
      <c r="O55" s="59"/>
      <c r="P55" s="59"/>
      <c r="Q55" s="59"/>
      <c r="R55" s="60"/>
      <c r="S55" s="11">
        <v>42180</v>
      </c>
      <c r="T55" t="s">
        <v>160</v>
      </c>
    </row>
    <row r="56" spans="1:20" ht="15.75" x14ac:dyDescent="0.25">
      <c r="A56" s="9" t="s">
        <v>165</v>
      </c>
      <c r="B56" s="12">
        <v>42180</v>
      </c>
      <c r="C56" s="5">
        <v>9645</v>
      </c>
      <c r="D56">
        <v>13</v>
      </c>
      <c r="E56">
        <v>0</v>
      </c>
      <c r="F56">
        <v>0</v>
      </c>
      <c r="G56">
        <v>0</v>
      </c>
      <c r="H56">
        <v>0</v>
      </c>
      <c r="I56" s="8">
        <v>1</v>
      </c>
      <c r="J56" t="s">
        <v>157</v>
      </c>
      <c r="K56" s="58" t="s">
        <v>201</v>
      </c>
      <c r="L56" s="59"/>
      <c r="M56" s="59"/>
      <c r="N56" s="59"/>
      <c r="O56" s="59"/>
      <c r="P56" s="59"/>
      <c r="Q56" s="59"/>
      <c r="R56" s="60"/>
      <c r="S56" s="11">
        <v>42180</v>
      </c>
      <c r="T56" t="s">
        <v>160</v>
      </c>
    </row>
    <row r="57" spans="1:20" ht="15.75" x14ac:dyDescent="0.25">
      <c r="A57" s="6" t="s">
        <v>50</v>
      </c>
      <c r="B57" s="10">
        <v>42180</v>
      </c>
      <c r="C57" s="5">
        <v>15923</v>
      </c>
      <c r="D57">
        <v>6</v>
      </c>
      <c r="E57">
        <v>1</v>
      </c>
      <c r="F57">
        <v>0</v>
      </c>
      <c r="G57">
        <v>0</v>
      </c>
      <c r="H57">
        <v>1</v>
      </c>
      <c r="I57" s="8">
        <v>0.8571428571428571</v>
      </c>
      <c r="J57" t="s">
        <v>89</v>
      </c>
      <c r="K57" s="50" t="s">
        <v>205</v>
      </c>
      <c r="L57" s="51"/>
      <c r="M57" s="51"/>
      <c r="N57" s="51"/>
      <c r="O57" s="51"/>
      <c r="P57" s="51"/>
      <c r="Q57" s="51"/>
      <c r="R57" s="52"/>
      <c r="S57" s="11">
        <v>42180</v>
      </c>
      <c r="T57" t="s">
        <v>160</v>
      </c>
    </row>
    <row r="58" spans="1:20" ht="15.75" x14ac:dyDescent="0.25">
      <c r="A58" s="6" t="s">
        <v>50</v>
      </c>
      <c r="B58" s="10">
        <v>42180</v>
      </c>
      <c r="C58" s="5">
        <v>85711</v>
      </c>
      <c r="D58">
        <v>20</v>
      </c>
      <c r="E58">
        <v>0</v>
      </c>
      <c r="F58">
        <v>0</v>
      </c>
      <c r="G58">
        <v>0</v>
      </c>
      <c r="H58">
        <v>0</v>
      </c>
      <c r="I58" s="8">
        <v>1</v>
      </c>
      <c r="J58" t="s">
        <v>89</v>
      </c>
      <c r="K58" s="50" t="s">
        <v>201</v>
      </c>
      <c r="L58" s="51"/>
      <c r="M58" s="51"/>
      <c r="N58" s="51"/>
      <c r="O58" s="51"/>
      <c r="P58" s="51"/>
      <c r="Q58" s="51"/>
      <c r="R58" s="52"/>
      <c r="S58" s="11">
        <v>42180</v>
      </c>
      <c r="T58" t="s">
        <v>160</v>
      </c>
    </row>
    <row r="59" spans="1:20" ht="15.75" x14ac:dyDescent="0.25">
      <c r="A59" s="6" t="s">
        <v>55</v>
      </c>
      <c r="B59" s="10">
        <v>42180</v>
      </c>
      <c r="C59" s="5">
        <v>6507</v>
      </c>
      <c r="D59">
        <v>27</v>
      </c>
      <c r="E59">
        <v>0</v>
      </c>
      <c r="F59">
        <v>0</v>
      </c>
      <c r="G59">
        <v>0</v>
      </c>
      <c r="H59">
        <v>0</v>
      </c>
      <c r="I59" s="8">
        <v>1</v>
      </c>
      <c r="J59" t="s">
        <v>57</v>
      </c>
      <c r="K59" s="47" t="s">
        <v>206</v>
      </c>
      <c r="L59" s="48"/>
      <c r="M59" s="48"/>
      <c r="N59" s="48"/>
      <c r="O59" s="48"/>
      <c r="P59" s="48"/>
      <c r="Q59" s="48"/>
      <c r="R59" s="49"/>
      <c r="S59" s="11">
        <v>42180</v>
      </c>
      <c r="T59" t="s">
        <v>160</v>
      </c>
    </row>
    <row r="60" spans="1:20" ht="15.75" x14ac:dyDescent="0.25">
      <c r="A60" s="6" t="s">
        <v>55</v>
      </c>
      <c r="B60" s="10">
        <v>42180</v>
      </c>
      <c r="C60" s="5">
        <v>225229</v>
      </c>
      <c r="D60">
        <v>28</v>
      </c>
      <c r="E60">
        <v>0</v>
      </c>
      <c r="F60">
        <v>0</v>
      </c>
      <c r="G60">
        <v>0</v>
      </c>
      <c r="H60">
        <v>0</v>
      </c>
      <c r="I60" s="8">
        <v>1</v>
      </c>
      <c r="J60" t="s">
        <v>57</v>
      </c>
      <c r="K60" s="47" t="s">
        <v>206</v>
      </c>
      <c r="L60" s="48"/>
      <c r="M60" s="48"/>
      <c r="N60" s="48"/>
      <c r="O60" s="48"/>
      <c r="P60" s="48"/>
      <c r="Q60" s="48"/>
      <c r="R60" s="49"/>
      <c r="S60" s="11">
        <v>42180</v>
      </c>
      <c r="T60" t="s">
        <v>160</v>
      </c>
    </row>
    <row r="61" spans="1:20" ht="15.75" x14ac:dyDescent="0.25">
      <c r="A61" s="9" t="s">
        <v>52</v>
      </c>
      <c r="B61" s="12">
        <v>42180</v>
      </c>
      <c r="C61" s="5">
        <v>6295</v>
      </c>
      <c r="D61">
        <v>13</v>
      </c>
      <c r="E61">
        <v>0</v>
      </c>
      <c r="F61">
        <v>0</v>
      </c>
      <c r="G61">
        <v>0</v>
      </c>
      <c r="H61">
        <v>0</v>
      </c>
      <c r="I61" s="8">
        <v>1</v>
      </c>
      <c r="J61" t="s">
        <v>157</v>
      </c>
      <c r="K61" s="58" t="s">
        <v>207</v>
      </c>
      <c r="L61" s="59"/>
      <c r="M61" s="59"/>
      <c r="N61" s="59"/>
      <c r="O61" s="59"/>
      <c r="P61" s="59"/>
      <c r="Q61" s="59"/>
      <c r="R61" s="60"/>
      <c r="S61" s="11">
        <v>42180</v>
      </c>
      <c r="T61" t="s">
        <v>160</v>
      </c>
    </row>
    <row r="62" spans="1:20" ht="15.75" x14ac:dyDescent="0.25">
      <c r="A62" s="9" t="s">
        <v>52</v>
      </c>
      <c r="B62" s="12">
        <v>42180</v>
      </c>
      <c r="C62" s="5">
        <v>18785</v>
      </c>
      <c r="D62">
        <v>13</v>
      </c>
      <c r="E62">
        <v>0</v>
      </c>
      <c r="F62">
        <v>0</v>
      </c>
      <c r="G62">
        <v>0</v>
      </c>
      <c r="H62">
        <v>0</v>
      </c>
      <c r="I62" s="8">
        <v>1</v>
      </c>
      <c r="J62" t="s">
        <v>157</v>
      </c>
      <c r="K62" s="58" t="s">
        <v>207</v>
      </c>
      <c r="L62" s="59"/>
      <c r="M62" s="59"/>
      <c r="N62" s="59"/>
      <c r="O62" s="59"/>
      <c r="P62" s="59"/>
      <c r="Q62" s="59"/>
      <c r="R62" s="60"/>
      <c r="S62" s="11">
        <v>42180</v>
      </c>
      <c r="T62" t="s">
        <v>160</v>
      </c>
    </row>
    <row r="63" spans="1:20" ht="15.75" x14ac:dyDescent="0.25">
      <c r="A63" s="9" t="s">
        <v>53</v>
      </c>
      <c r="B63" s="12">
        <v>42180</v>
      </c>
      <c r="C63" s="5">
        <v>5857</v>
      </c>
      <c r="D63">
        <v>13</v>
      </c>
      <c r="E63">
        <v>0</v>
      </c>
      <c r="F63">
        <v>0</v>
      </c>
      <c r="G63">
        <v>0</v>
      </c>
      <c r="H63">
        <v>0</v>
      </c>
      <c r="I63" s="8">
        <v>1</v>
      </c>
      <c r="J63" t="s">
        <v>157</v>
      </c>
      <c r="K63" s="58" t="s">
        <v>201</v>
      </c>
      <c r="L63" s="59"/>
      <c r="M63" s="59"/>
      <c r="N63" s="59"/>
      <c r="O63" s="59"/>
      <c r="P63" s="59"/>
      <c r="Q63" s="59"/>
      <c r="R63" s="60"/>
      <c r="S63" s="11">
        <v>42180</v>
      </c>
      <c r="T63" t="s">
        <v>160</v>
      </c>
    </row>
    <row r="64" spans="1:20" ht="15.75" x14ac:dyDescent="0.25">
      <c r="A64" s="9" t="s">
        <v>53</v>
      </c>
      <c r="B64" s="12">
        <v>42180</v>
      </c>
      <c r="C64" s="5">
        <v>57595</v>
      </c>
      <c r="D64">
        <v>13</v>
      </c>
      <c r="E64">
        <v>0</v>
      </c>
      <c r="F64">
        <v>0</v>
      </c>
      <c r="G64">
        <v>0</v>
      </c>
      <c r="H64">
        <v>0</v>
      </c>
      <c r="I64" s="8">
        <v>1</v>
      </c>
      <c r="J64" t="s">
        <v>157</v>
      </c>
      <c r="K64" s="58" t="s">
        <v>201</v>
      </c>
      <c r="L64" s="59"/>
      <c r="M64" s="59"/>
      <c r="N64" s="59"/>
      <c r="O64" s="59"/>
      <c r="P64" s="59"/>
      <c r="Q64" s="59"/>
      <c r="R64" s="60"/>
      <c r="S64" s="11">
        <v>42180</v>
      </c>
      <c r="T64" t="s">
        <v>160</v>
      </c>
    </row>
    <row r="65" spans="1:20" ht="15.75" x14ac:dyDescent="0.25">
      <c r="A65" s="6" t="s">
        <v>55</v>
      </c>
      <c r="B65" s="10">
        <v>42184</v>
      </c>
      <c r="C65" s="5">
        <v>6507</v>
      </c>
      <c r="D65">
        <v>20</v>
      </c>
      <c r="E65">
        <v>1</v>
      </c>
      <c r="F65">
        <v>0</v>
      </c>
      <c r="G65">
        <v>0</v>
      </c>
      <c r="H65">
        <v>1</v>
      </c>
      <c r="I65" s="8">
        <v>0.95238095238095233</v>
      </c>
      <c r="J65" t="s">
        <v>57</v>
      </c>
      <c r="K65" s="47" t="s">
        <v>208</v>
      </c>
      <c r="L65" s="48"/>
      <c r="M65" s="48"/>
      <c r="N65" s="48"/>
      <c r="O65" s="48"/>
      <c r="P65" s="48"/>
      <c r="Q65" s="48"/>
      <c r="R65" s="49"/>
      <c r="S65" s="11">
        <v>42184</v>
      </c>
      <c r="T65" t="s">
        <v>160</v>
      </c>
    </row>
    <row r="66" spans="1:20" ht="15.75" x14ac:dyDescent="0.25">
      <c r="A66" s="6" t="s">
        <v>55</v>
      </c>
      <c r="B66" s="10">
        <v>42184</v>
      </c>
      <c r="C66" s="5">
        <v>195502</v>
      </c>
      <c r="D66">
        <v>20</v>
      </c>
      <c r="E66">
        <v>1</v>
      </c>
      <c r="F66">
        <v>0</v>
      </c>
      <c r="G66">
        <v>0</v>
      </c>
      <c r="H66">
        <v>1</v>
      </c>
      <c r="I66" s="8">
        <v>0.95238095238095233</v>
      </c>
      <c r="J66" t="s">
        <v>57</v>
      </c>
      <c r="K66" s="47" t="s">
        <v>209</v>
      </c>
      <c r="L66" s="48"/>
      <c r="M66" s="48"/>
      <c r="N66" s="48"/>
      <c r="O66" s="48"/>
      <c r="P66" s="48"/>
      <c r="Q66" s="48"/>
      <c r="R66" s="49"/>
      <c r="S66" s="11">
        <v>42184</v>
      </c>
      <c r="T66" t="s">
        <v>160</v>
      </c>
    </row>
    <row r="67" spans="1:20" ht="15.75" x14ac:dyDescent="0.25">
      <c r="A67" s="9" t="s">
        <v>165</v>
      </c>
      <c r="B67" s="12">
        <v>42187</v>
      </c>
      <c r="C67" s="5">
        <v>7338</v>
      </c>
      <c r="D67">
        <v>4</v>
      </c>
      <c r="E67">
        <v>0</v>
      </c>
      <c r="F67">
        <v>0</v>
      </c>
      <c r="G67">
        <v>0</v>
      </c>
      <c r="H67">
        <v>0</v>
      </c>
      <c r="I67" s="8">
        <v>1</v>
      </c>
      <c r="J67" t="s">
        <v>157</v>
      </c>
      <c r="K67" s="58" t="s">
        <v>210</v>
      </c>
      <c r="L67" s="59"/>
      <c r="M67" s="59"/>
      <c r="N67" s="59"/>
      <c r="O67" s="59"/>
      <c r="P67" s="59"/>
      <c r="Q67" s="59"/>
      <c r="R67" s="60"/>
      <c r="S67" s="11">
        <v>42187</v>
      </c>
      <c r="T67" t="s">
        <v>160</v>
      </c>
    </row>
    <row r="68" spans="1:20" ht="15.75" x14ac:dyDescent="0.25">
      <c r="A68" s="9" t="s">
        <v>165</v>
      </c>
      <c r="B68" s="12">
        <v>42187</v>
      </c>
      <c r="C68" s="5">
        <v>23236</v>
      </c>
      <c r="D68">
        <v>4</v>
      </c>
      <c r="E68">
        <v>0</v>
      </c>
      <c r="F68">
        <v>0</v>
      </c>
      <c r="G68">
        <v>0</v>
      </c>
      <c r="H68">
        <v>0</v>
      </c>
      <c r="I68" s="8">
        <v>1</v>
      </c>
      <c r="J68" t="s">
        <v>157</v>
      </c>
      <c r="K68" s="58" t="s">
        <v>210</v>
      </c>
      <c r="L68" s="59"/>
      <c r="M68" s="59"/>
      <c r="N68" s="59"/>
      <c r="O68" s="59"/>
      <c r="P68" s="59"/>
      <c r="Q68" s="59"/>
      <c r="R68" s="60"/>
      <c r="S68" s="11">
        <v>42187</v>
      </c>
      <c r="T68" t="s">
        <v>160</v>
      </c>
    </row>
    <row r="69" spans="1:20" ht="15.75" x14ac:dyDescent="0.25">
      <c r="A69" s="6" t="s">
        <v>50</v>
      </c>
      <c r="B69" s="10">
        <v>42187</v>
      </c>
      <c r="C69" s="5">
        <v>15930</v>
      </c>
      <c r="D69">
        <v>11</v>
      </c>
      <c r="E69">
        <v>0</v>
      </c>
      <c r="F69">
        <v>0</v>
      </c>
      <c r="G69">
        <v>0</v>
      </c>
      <c r="H69">
        <v>0</v>
      </c>
      <c r="I69" s="8">
        <v>1</v>
      </c>
      <c r="J69" t="s">
        <v>89</v>
      </c>
      <c r="K69" s="50" t="s">
        <v>211</v>
      </c>
      <c r="L69" s="51"/>
      <c r="M69" s="51"/>
      <c r="N69" s="51"/>
      <c r="O69" s="51"/>
      <c r="P69" s="51"/>
      <c r="Q69" s="51"/>
      <c r="R69" s="52"/>
      <c r="S69" s="11">
        <v>42187</v>
      </c>
      <c r="T69" t="s">
        <v>160</v>
      </c>
    </row>
    <row r="70" spans="1:20" ht="15.75" x14ac:dyDescent="0.25">
      <c r="A70" s="6" t="s">
        <v>50</v>
      </c>
      <c r="B70" s="10">
        <v>42187</v>
      </c>
      <c r="C70" s="5">
        <v>116057</v>
      </c>
      <c r="D70">
        <v>20</v>
      </c>
      <c r="E70">
        <v>1</v>
      </c>
      <c r="F70">
        <v>0</v>
      </c>
      <c r="G70">
        <v>0</v>
      </c>
      <c r="H70">
        <v>1</v>
      </c>
      <c r="I70" s="8">
        <v>0.95238095238095233</v>
      </c>
      <c r="J70" t="s">
        <v>89</v>
      </c>
      <c r="K70" s="50" t="s">
        <v>212</v>
      </c>
      <c r="L70" s="51"/>
      <c r="M70" s="51"/>
      <c r="N70" s="51"/>
      <c r="O70" s="51"/>
      <c r="P70" s="51"/>
      <c r="Q70" s="51"/>
      <c r="R70" s="52"/>
      <c r="S70" s="11">
        <v>42187</v>
      </c>
      <c r="T70" t="s">
        <v>160</v>
      </c>
    </row>
    <row r="71" spans="1:20" ht="15.75" x14ac:dyDescent="0.25">
      <c r="A71" s="9" t="s">
        <v>213</v>
      </c>
      <c r="B71" s="12">
        <v>42187</v>
      </c>
      <c r="C71" s="5">
        <v>81698</v>
      </c>
      <c r="D71">
        <v>9</v>
      </c>
      <c r="E71">
        <v>0</v>
      </c>
      <c r="F71">
        <v>0</v>
      </c>
      <c r="G71">
        <v>0</v>
      </c>
      <c r="H71">
        <v>0</v>
      </c>
      <c r="I71" s="8">
        <v>1</v>
      </c>
      <c r="J71" t="s">
        <v>157</v>
      </c>
      <c r="K71" s="58" t="s">
        <v>214</v>
      </c>
      <c r="L71" s="59"/>
      <c r="M71" s="59"/>
      <c r="N71" s="59"/>
      <c r="O71" s="59"/>
      <c r="P71" s="59"/>
      <c r="Q71" s="59"/>
      <c r="R71" s="60"/>
      <c r="S71" s="11">
        <v>42187</v>
      </c>
      <c r="T71" t="s">
        <v>160</v>
      </c>
    </row>
    <row r="72" spans="1:20" ht="15.75" x14ac:dyDescent="0.25">
      <c r="A72" s="9" t="s">
        <v>215</v>
      </c>
      <c r="B72" s="12">
        <v>42187</v>
      </c>
      <c r="C72" s="5">
        <v>147873</v>
      </c>
      <c r="D72">
        <v>7</v>
      </c>
      <c r="E72">
        <v>0</v>
      </c>
      <c r="F72">
        <v>0</v>
      </c>
      <c r="G72">
        <v>0</v>
      </c>
      <c r="H72">
        <v>0</v>
      </c>
      <c r="I72" s="8">
        <v>1</v>
      </c>
      <c r="J72" t="s">
        <v>157</v>
      </c>
      <c r="K72" s="58" t="s">
        <v>136</v>
      </c>
      <c r="L72" s="59"/>
      <c r="M72" s="59"/>
      <c r="N72" s="59"/>
      <c r="O72" s="59"/>
      <c r="P72" s="59"/>
      <c r="Q72" s="59"/>
      <c r="R72" s="60"/>
      <c r="S72" s="11">
        <v>42187</v>
      </c>
      <c r="T72" t="s">
        <v>160</v>
      </c>
    </row>
    <row r="73" spans="1:20" ht="15.75" x14ac:dyDescent="0.25">
      <c r="A73" s="9" t="s">
        <v>215</v>
      </c>
      <c r="B73" s="12">
        <v>42187</v>
      </c>
      <c r="C73" s="5">
        <v>23475</v>
      </c>
      <c r="D73">
        <v>7</v>
      </c>
      <c r="E73">
        <v>0</v>
      </c>
      <c r="F73">
        <v>0</v>
      </c>
      <c r="G73">
        <v>0</v>
      </c>
      <c r="H73">
        <v>0</v>
      </c>
      <c r="I73" s="8">
        <v>1</v>
      </c>
      <c r="J73" t="s">
        <v>157</v>
      </c>
      <c r="K73" s="58" t="s">
        <v>136</v>
      </c>
      <c r="L73" s="59"/>
      <c r="M73" s="59"/>
      <c r="N73" s="59"/>
      <c r="O73" s="59"/>
      <c r="P73" s="59"/>
      <c r="Q73" s="59"/>
      <c r="R73" s="60"/>
      <c r="S73" s="11">
        <v>42187</v>
      </c>
      <c r="T73" t="s">
        <v>160</v>
      </c>
    </row>
    <row r="74" spans="1:20" ht="15.75" x14ac:dyDescent="0.25">
      <c r="A74" s="9" t="s">
        <v>53</v>
      </c>
      <c r="B74" s="12">
        <v>42187</v>
      </c>
      <c r="C74" s="5">
        <v>146127</v>
      </c>
      <c r="D74">
        <v>13</v>
      </c>
      <c r="E74">
        <v>0</v>
      </c>
      <c r="F74">
        <v>0</v>
      </c>
      <c r="G74">
        <v>0</v>
      </c>
      <c r="H74">
        <v>0</v>
      </c>
      <c r="I74" s="8">
        <v>1</v>
      </c>
      <c r="J74" t="s">
        <v>157</v>
      </c>
      <c r="K74" s="58" t="s">
        <v>216</v>
      </c>
      <c r="L74" s="59"/>
      <c r="M74" s="59"/>
      <c r="N74" s="59"/>
      <c r="O74" s="59"/>
      <c r="P74" s="59"/>
      <c r="Q74" s="59"/>
      <c r="R74" s="60"/>
      <c r="S74" s="11">
        <v>42187</v>
      </c>
      <c r="T74" t="s">
        <v>160</v>
      </c>
    </row>
    <row r="75" spans="1:20" ht="15.75" x14ac:dyDescent="0.25">
      <c r="A75" s="9" t="s">
        <v>53</v>
      </c>
      <c r="B75" s="12">
        <v>42187</v>
      </c>
      <c r="C75" s="5">
        <v>69139</v>
      </c>
      <c r="D75">
        <v>13</v>
      </c>
      <c r="E75">
        <v>0</v>
      </c>
      <c r="F75">
        <v>0</v>
      </c>
      <c r="G75">
        <v>0</v>
      </c>
      <c r="H75">
        <v>0</v>
      </c>
      <c r="I75" s="8">
        <v>1</v>
      </c>
      <c r="J75" t="s">
        <v>157</v>
      </c>
      <c r="K75" s="58" t="s">
        <v>217</v>
      </c>
      <c r="L75" s="59"/>
      <c r="M75" s="59"/>
      <c r="N75" s="59"/>
      <c r="O75" s="59"/>
      <c r="P75" s="59"/>
      <c r="Q75" s="59"/>
      <c r="R75" s="60"/>
      <c r="S75" s="11">
        <v>42187</v>
      </c>
      <c r="T75" t="s">
        <v>160</v>
      </c>
    </row>
    <row r="76" spans="1:20" ht="15.75" x14ac:dyDescent="0.25">
      <c r="A76" s="9" t="s">
        <v>52</v>
      </c>
      <c r="B76" s="12">
        <v>42187</v>
      </c>
      <c r="C76" s="5">
        <v>7131</v>
      </c>
      <c r="D76">
        <v>13</v>
      </c>
      <c r="E76">
        <v>0</v>
      </c>
      <c r="F76">
        <v>0</v>
      </c>
      <c r="G76">
        <v>0</v>
      </c>
      <c r="H76">
        <v>0</v>
      </c>
      <c r="I76" s="8">
        <v>1</v>
      </c>
      <c r="J76" t="s">
        <v>157</v>
      </c>
      <c r="K76" s="58" t="s">
        <v>218</v>
      </c>
      <c r="L76" s="59"/>
      <c r="M76" s="59"/>
      <c r="N76" s="59"/>
      <c r="O76" s="59"/>
      <c r="P76" s="59"/>
      <c r="Q76" s="59"/>
      <c r="R76" s="60"/>
      <c r="S76" s="11">
        <v>42187</v>
      </c>
      <c r="T76" t="s">
        <v>160</v>
      </c>
    </row>
    <row r="77" spans="1:20" ht="15.75" x14ac:dyDescent="0.25">
      <c r="A77" s="9" t="s">
        <v>52</v>
      </c>
      <c r="B77" s="12">
        <v>42187</v>
      </c>
      <c r="C77" s="5">
        <v>25663</v>
      </c>
      <c r="D77">
        <v>13</v>
      </c>
      <c r="E77">
        <v>0</v>
      </c>
      <c r="F77">
        <v>0</v>
      </c>
      <c r="G77">
        <v>0</v>
      </c>
      <c r="H77">
        <v>0</v>
      </c>
      <c r="I77" s="8">
        <v>1</v>
      </c>
      <c r="J77" t="s">
        <v>157</v>
      </c>
      <c r="K77" s="58" t="s">
        <v>218</v>
      </c>
      <c r="L77" s="59"/>
      <c r="M77" s="59"/>
      <c r="N77" s="59"/>
      <c r="O77" s="59"/>
      <c r="P77" s="59"/>
      <c r="Q77" s="59"/>
      <c r="R77" s="60"/>
      <c r="S77" s="11">
        <v>42187</v>
      </c>
      <c r="T77" t="s">
        <v>160</v>
      </c>
    </row>
    <row r="78" spans="1:20" ht="16.5" thickBot="1" x14ac:dyDescent="0.3">
      <c r="A78" s="13" t="s">
        <v>213</v>
      </c>
      <c r="B78" s="14">
        <v>42187</v>
      </c>
      <c r="C78" s="31">
        <v>140257</v>
      </c>
      <c r="D78">
        <v>7</v>
      </c>
      <c r="E78">
        <v>0</v>
      </c>
      <c r="F78">
        <v>0</v>
      </c>
      <c r="G78">
        <v>1</v>
      </c>
      <c r="H78">
        <v>0</v>
      </c>
      <c r="I78" s="8">
        <v>1</v>
      </c>
      <c r="J78" t="s">
        <v>157</v>
      </c>
      <c r="K78" s="64" t="s">
        <v>219</v>
      </c>
      <c r="L78" s="65"/>
      <c r="M78" s="65"/>
      <c r="N78" s="65"/>
      <c r="O78" s="65"/>
      <c r="P78" s="65"/>
      <c r="Q78" s="65"/>
      <c r="R78" s="66"/>
      <c r="S78" s="11">
        <v>42187</v>
      </c>
      <c r="T78" t="s">
        <v>160</v>
      </c>
    </row>
    <row r="79" spans="1:20" s="18" customFormat="1" ht="15.75" x14ac:dyDescent="0.25">
      <c r="A79" s="15" t="s">
        <v>52</v>
      </c>
      <c r="B79" s="16">
        <v>42194</v>
      </c>
      <c r="C79" s="17">
        <v>13125</v>
      </c>
      <c r="D79" s="18">
        <v>13</v>
      </c>
      <c r="E79" s="18">
        <v>0</v>
      </c>
      <c r="F79" s="18">
        <v>0</v>
      </c>
      <c r="G79" s="18">
        <v>0</v>
      </c>
      <c r="H79" s="18">
        <v>0</v>
      </c>
      <c r="I79" s="19">
        <v>1</v>
      </c>
      <c r="J79" s="18" t="s">
        <v>157</v>
      </c>
      <c r="K79" s="61" t="s">
        <v>220</v>
      </c>
      <c r="L79" s="62"/>
      <c r="M79" s="62"/>
      <c r="N79" s="62"/>
      <c r="O79" s="62"/>
      <c r="P79" s="62"/>
      <c r="Q79" s="62"/>
      <c r="R79" s="63"/>
      <c r="S79" s="20">
        <v>42194</v>
      </c>
      <c r="T79" s="18" t="s">
        <v>160</v>
      </c>
    </row>
    <row r="80" spans="1:20" s="22" customFormat="1" ht="15.75" x14ac:dyDescent="0.25">
      <c r="A80" s="21" t="s">
        <v>52</v>
      </c>
      <c r="B80" s="12">
        <v>42194</v>
      </c>
      <c r="C80" s="5">
        <v>5014</v>
      </c>
      <c r="D80" s="22">
        <v>13</v>
      </c>
      <c r="E80" s="22">
        <v>0</v>
      </c>
      <c r="F80" s="22">
        <v>0</v>
      </c>
      <c r="G80" s="22">
        <v>0</v>
      </c>
      <c r="H80" s="22">
        <v>0</v>
      </c>
      <c r="I80" s="23">
        <v>1</v>
      </c>
      <c r="J80" s="22" t="s">
        <v>157</v>
      </c>
      <c r="K80" s="58" t="s">
        <v>220</v>
      </c>
      <c r="L80" s="59"/>
      <c r="M80" s="59"/>
      <c r="N80" s="59"/>
      <c r="O80" s="59"/>
      <c r="P80" s="59"/>
      <c r="Q80" s="59"/>
      <c r="R80" s="60"/>
      <c r="S80" s="24">
        <v>42194</v>
      </c>
      <c r="T80" s="22" t="s">
        <v>160</v>
      </c>
    </row>
    <row r="81" spans="1:20" s="22" customFormat="1" ht="15.75" x14ac:dyDescent="0.25">
      <c r="A81" s="21" t="s">
        <v>53</v>
      </c>
      <c r="B81" s="12">
        <v>42194</v>
      </c>
      <c r="C81" s="5">
        <v>43240</v>
      </c>
      <c r="D81" s="22">
        <v>13</v>
      </c>
      <c r="E81" s="22">
        <v>0</v>
      </c>
      <c r="F81" s="22">
        <v>0</v>
      </c>
      <c r="G81" s="22">
        <v>0</v>
      </c>
      <c r="H81" s="22">
        <v>0</v>
      </c>
      <c r="I81" s="23">
        <v>1</v>
      </c>
      <c r="J81" s="22" t="s">
        <v>157</v>
      </c>
      <c r="K81" s="58" t="s">
        <v>221</v>
      </c>
      <c r="L81" s="59"/>
      <c r="M81" s="59"/>
      <c r="N81" s="59"/>
      <c r="O81" s="59"/>
      <c r="P81" s="59"/>
      <c r="Q81" s="59"/>
      <c r="R81" s="60"/>
      <c r="S81" s="24">
        <v>42194</v>
      </c>
      <c r="T81" s="22" t="s">
        <v>160</v>
      </c>
    </row>
    <row r="82" spans="1:20" s="22" customFormat="1" ht="15.75" x14ac:dyDescent="0.25">
      <c r="A82" s="21" t="s">
        <v>53</v>
      </c>
      <c r="B82" s="12">
        <v>42194</v>
      </c>
      <c r="C82" s="5">
        <v>3984</v>
      </c>
      <c r="D82" s="22">
        <v>13</v>
      </c>
      <c r="E82" s="22">
        <v>0</v>
      </c>
      <c r="F82" s="22">
        <v>0</v>
      </c>
      <c r="G82" s="22">
        <v>0</v>
      </c>
      <c r="H82" s="22">
        <v>0</v>
      </c>
      <c r="I82" s="23">
        <v>1</v>
      </c>
      <c r="J82" s="22" t="s">
        <v>157</v>
      </c>
      <c r="K82" s="58" t="s">
        <v>222</v>
      </c>
      <c r="L82" s="59"/>
      <c r="M82" s="59"/>
      <c r="N82" s="59"/>
      <c r="O82" s="59"/>
      <c r="P82" s="59"/>
      <c r="Q82" s="59"/>
      <c r="R82" s="60"/>
      <c r="S82" s="24">
        <v>42194</v>
      </c>
      <c r="T82" s="22" t="s">
        <v>160</v>
      </c>
    </row>
    <row r="83" spans="1:20" s="22" customFormat="1" ht="15.75" x14ac:dyDescent="0.25">
      <c r="A83" s="21" t="s">
        <v>165</v>
      </c>
      <c r="B83" s="12">
        <v>42194</v>
      </c>
      <c r="C83" s="5">
        <v>159634</v>
      </c>
      <c r="D83" s="22">
        <v>13</v>
      </c>
      <c r="E83" s="22">
        <v>0</v>
      </c>
      <c r="F83" s="22">
        <v>0</v>
      </c>
      <c r="G83" s="22">
        <v>0</v>
      </c>
      <c r="H83" s="22">
        <v>0</v>
      </c>
      <c r="I83" s="23">
        <v>1</v>
      </c>
      <c r="J83" s="22" t="s">
        <v>157</v>
      </c>
      <c r="K83" s="58" t="s">
        <v>222</v>
      </c>
      <c r="L83" s="59"/>
      <c r="M83" s="59"/>
      <c r="N83" s="59"/>
      <c r="O83" s="59"/>
      <c r="P83" s="59"/>
      <c r="Q83" s="59"/>
      <c r="R83" s="60"/>
      <c r="S83" s="24">
        <v>42194</v>
      </c>
      <c r="T83" s="22" t="s">
        <v>160</v>
      </c>
    </row>
    <row r="84" spans="1:20" s="22" customFormat="1" ht="15.75" x14ac:dyDescent="0.25">
      <c r="A84" s="21" t="s">
        <v>165</v>
      </c>
      <c r="B84" s="12">
        <v>42194</v>
      </c>
      <c r="C84" s="5">
        <v>7275</v>
      </c>
      <c r="D84" s="22">
        <v>13</v>
      </c>
      <c r="E84" s="22">
        <v>0</v>
      </c>
      <c r="F84" s="22">
        <v>0</v>
      </c>
      <c r="G84" s="22">
        <v>0</v>
      </c>
      <c r="H84" s="22">
        <v>0</v>
      </c>
      <c r="I84" s="23">
        <v>1</v>
      </c>
      <c r="J84" s="22" t="s">
        <v>157</v>
      </c>
      <c r="K84" s="58" t="s">
        <v>222</v>
      </c>
      <c r="L84" s="59"/>
      <c r="M84" s="59"/>
      <c r="N84" s="59"/>
      <c r="O84" s="59"/>
      <c r="P84" s="59"/>
      <c r="Q84" s="59"/>
      <c r="R84" s="60"/>
      <c r="S84" s="24">
        <v>42194</v>
      </c>
      <c r="T84" s="22" t="s">
        <v>160</v>
      </c>
    </row>
    <row r="85" spans="1:20" s="22" customFormat="1" ht="15.75" x14ac:dyDescent="0.25">
      <c r="A85" s="25" t="s">
        <v>50</v>
      </c>
      <c r="B85" s="10">
        <v>42194</v>
      </c>
      <c r="C85" s="5">
        <v>64930</v>
      </c>
      <c r="D85" s="22">
        <v>18</v>
      </c>
      <c r="E85" s="22">
        <v>1</v>
      </c>
      <c r="F85" s="22">
        <v>0</v>
      </c>
      <c r="G85" s="22">
        <v>4</v>
      </c>
      <c r="H85" s="22">
        <v>1</v>
      </c>
      <c r="I85" s="23">
        <v>0.94736842105263153</v>
      </c>
      <c r="J85" s="22" t="s">
        <v>89</v>
      </c>
      <c r="K85" s="50" t="s">
        <v>223</v>
      </c>
      <c r="L85" s="51"/>
      <c r="M85" s="51"/>
      <c r="N85" s="51"/>
      <c r="O85" s="51"/>
      <c r="P85" s="51"/>
      <c r="Q85" s="51"/>
      <c r="R85" s="52"/>
      <c r="S85" s="24">
        <v>42194</v>
      </c>
      <c r="T85" s="22" t="s">
        <v>160</v>
      </c>
    </row>
    <row r="86" spans="1:20" s="22" customFormat="1" ht="15.75" x14ac:dyDescent="0.25">
      <c r="A86" s="25" t="s">
        <v>50</v>
      </c>
      <c r="B86" s="10">
        <v>42194</v>
      </c>
      <c r="C86" s="5">
        <v>5256</v>
      </c>
      <c r="D86" s="22">
        <v>19</v>
      </c>
      <c r="E86" s="22">
        <v>0</v>
      </c>
      <c r="F86" s="22">
        <v>0</v>
      </c>
      <c r="G86" s="22">
        <v>4</v>
      </c>
      <c r="H86" s="22">
        <v>0</v>
      </c>
      <c r="I86" s="23">
        <v>1</v>
      </c>
      <c r="J86" s="22" t="s">
        <v>89</v>
      </c>
      <c r="K86" s="50" t="s">
        <v>223</v>
      </c>
      <c r="L86" s="51"/>
      <c r="M86" s="51"/>
      <c r="N86" s="51"/>
      <c r="O86" s="51"/>
      <c r="P86" s="51"/>
      <c r="Q86" s="51"/>
      <c r="R86" s="52"/>
      <c r="S86" s="24">
        <v>42194</v>
      </c>
      <c r="T86" s="22" t="s">
        <v>160</v>
      </c>
    </row>
    <row r="87" spans="1:20" s="22" customFormat="1" ht="15.75" x14ac:dyDescent="0.25">
      <c r="A87" s="21" t="s">
        <v>215</v>
      </c>
      <c r="B87" s="12">
        <v>42194</v>
      </c>
      <c r="C87" s="5">
        <v>15708</v>
      </c>
      <c r="D87" s="22">
        <v>9</v>
      </c>
      <c r="E87" s="22">
        <v>0</v>
      </c>
      <c r="F87" s="22">
        <v>0</v>
      </c>
      <c r="G87" s="22">
        <v>0</v>
      </c>
      <c r="H87" s="22">
        <v>0</v>
      </c>
      <c r="I87" s="23">
        <v>1</v>
      </c>
      <c r="J87" s="22" t="s">
        <v>157</v>
      </c>
      <c r="K87" s="58" t="s">
        <v>224</v>
      </c>
      <c r="L87" s="59"/>
      <c r="M87" s="59"/>
      <c r="N87" s="59"/>
      <c r="O87" s="59"/>
      <c r="P87" s="59"/>
      <c r="Q87" s="59"/>
      <c r="R87" s="60"/>
      <c r="S87" s="24">
        <v>42194</v>
      </c>
      <c r="T87" s="22" t="s">
        <v>160</v>
      </c>
    </row>
    <row r="88" spans="1:20" s="22" customFormat="1" ht="15.75" x14ac:dyDescent="0.25">
      <c r="A88" s="21" t="s">
        <v>215</v>
      </c>
      <c r="B88" s="12">
        <v>42194</v>
      </c>
      <c r="C88" s="5">
        <v>2043</v>
      </c>
      <c r="D88" s="22">
        <v>9</v>
      </c>
      <c r="E88" s="22">
        <v>0</v>
      </c>
      <c r="F88" s="22">
        <v>0</v>
      </c>
      <c r="G88" s="22">
        <v>0</v>
      </c>
      <c r="H88" s="22">
        <v>0</v>
      </c>
      <c r="I88" s="23">
        <v>1</v>
      </c>
      <c r="J88" s="22" t="s">
        <v>157</v>
      </c>
      <c r="K88" s="58" t="s">
        <v>224</v>
      </c>
      <c r="L88" s="59"/>
      <c r="M88" s="59"/>
      <c r="N88" s="59"/>
      <c r="O88" s="59"/>
      <c r="P88" s="59"/>
      <c r="Q88" s="59"/>
      <c r="R88" s="60"/>
      <c r="S88" s="24">
        <v>42194</v>
      </c>
      <c r="T88" s="22" t="s">
        <v>160</v>
      </c>
    </row>
    <row r="89" spans="1:20" s="22" customFormat="1" ht="15.75" x14ac:dyDescent="0.25">
      <c r="A89" s="21" t="s">
        <v>225</v>
      </c>
      <c r="B89" s="12">
        <v>42194</v>
      </c>
      <c r="C89" s="5">
        <v>167480</v>
      </c>
      <c r="D89" s="22">
        <v>9</v>
      </c>
      <c r="E89" s="22">
        <v>0</v>
      </c>
      <c r="F89" s="22">
        <v>0</v>
      </c>
      <c r="G89" s="22">
        <v>0</v>
      </c>
      <c r="H89" s="22">
        <v>0</v>
      </c>
      <c r="I89" s="23">
        <v>1</v>
      </c>
      <c r="J89" s="22" t="s">
        <v>157</v>
      </c>
      <c r="K89" s="58" t="s">
        <v>226</v>
      </c>
      <c r="L89" s="59"/>
      <c r="M89" s="59"/>
      <c r="N89" s="59"/>
      <c r="O89" s="59"/>
      <c r="P89" s="59"/>
      <c r="Q89" s="59"/>
      <c r="R89" s="60"/>
      <c r="S89" s="24">
        <v>42194</v>
      </c>
      <c r="T89" s="22" t="s">
        <v>160</v>
      </c>
    </row>
    <row r="90" spans="1:20" s="28" customFormat="1" ht="16.5" thickBot="1" x14ac:dyDescent="0.3">
      <c r="A90" s="32" t="s">
        <v>225</v>
      </c>
      <c r="B90" s="33">
        <v>42194</v>
      </c>
      <c r="C90" s="34">
        <v>43303</v>
      </c>
      <c r="D90" s="28">
        <v>9</v>
      </c>
      <c r="E90" s="28">
        <v>0</v>
      </c>
      <c r="F90" s="28">
        <v>0</v>
      </c>
      <c r="G90" s="28">
        <v>0</v>
      </c>
      <c r="H90" s="28">
        <v>0</v>
      </c>
      <c r="I90" s="29">
        <v>1</v>
      </c>
      <c r="J90" s="28" t="s">
        <v>157</v>
      </c>
      <c r="K90" s="74" t="s">
        <v>226</v>
      </c>
      <c r="L90" s="75"/>
      <c r="M90" s="75"/>
      <c r="N90" s="75"/>
      <c r="O90" s="75"/>
      <c r="P90" s="75"/>
      <c r="Q90" s="75"/>
      <c r="R90" s="76"/>
      <c r="S90" s="30">
        <v>42194</v>
      </c>
      <c r="T90" s="28" t="s">
        <v>160</v>
      </c>
    </row>
    <row r="91" spans="1:20" ht="15.75" x14ac:dyDescent="0.25">
      <c r="A91" s="9" t="s">
        <v>52</v>
      </c>
      <c r="B91" s="12">
        <v>42200</v>
      </c>
      <c r="C91" s="5">
        <v>65784</v>
      </c>
      <c r="D91">
        <v>13</v>
      </c>
      <c r="E91">
        <v>0</v>
      </c>
      <c r="F91">
        <v>0</v>
      </c>
      <c r="G91">
        <v>0</v>
      </c>
      <c r="H91">
        <v>0</v>
      </c>
      <c r="I91" s="8">
        <v>1</v>
      </c>
      <c r="J91" t="s">
        <v>157</v>
      </c>
      <c r="K91" s="58" t="s">
        <v>227</v>
      </c>
      <c r="L91" s="59"/>
      <c r="M91" s="59"/>
      <c r="N91" s="59"/>
      <c r="O91" s="59"/>
      <c r="P91" s="59"/>
      <c r="Q91" s="59"/>
      <c r="R91" s="60"/>
      <c r="S91" s="11">
        <v>42200</v>
      </c>
      <c r="T91" t="s">
        <v>160</v>
      </c>
    </row>
    <row r="92" spans="1:20" ht="15.75" x14ac:dyDescent="0.25">
      <c r="A92" s="9" t="s">
        <v>52</v>
      </c>
      <c r="B92" s="12">
        <v>42200</v>
      </c>
      <c r="C92" s="5">
        <v>88817</v>
      </c>
      <c r="D92">
        <v>13</v>
      </c>
      <c r="E92">
        <v>0</v>
      </c>
      <c r="F92">
        <v>0</v>
      </c>
      <c r="G92">
        <v>0</v>
      </c>
      <c r="H92">
        <v>0</v>
      </c>
      <c r="I92" s="8">
        <v>1</v>
      </c>
      <c r="J92" t="s">
        <v>157</v>
      </c>
      <c r="K92" s="58" t="s">
        <v>227</v>
      </c>
      <c r="L92" s="59"/>
      <c r="M92" s="59"/>
      <c r="N92" s="59"/>
      <c r="O92" s="59"/>
      <c r="P92" s="59"/>
      <c r="Q92" s="59"/>
      <c r="R92" s="60"/>
      <c r="S92" s="11">
        <v>42200</v>
      </c>
      <c r="T92" t="s">
        <v>160</v>
      </c>
    </row>
    <row r="93" spans="1:20" ht="15.75" x14ac:dyDescent="0.25">
      <c r="A93" s="9" t="s">
        <v>53</v>
      </c>
      <c r="B93" s="12">
        <v>42200</v>
      </c>
      <c r="C93" s="5">
        <v>146127</v>
      </c>
      <c r="D93">
        <v>21</v>
      </c>
      <c r="E93">
        <v>0</v>
      </c>
      <c r="F93">
        <v>0</v>
      </c>
      <c r="G93">
        <v>0</v>
      </c>
      <c r="H93">
        <v>0</v>
      </c>
      <c r="I93" s="8">
        <v>1</v>
      </c>
      <c r="J93" t="s">
        <v>157</v>
      </c>
      <c r="K93" s="58" t="s">
        <v>229</v>
      </c>
      <c r="L93" s="59"/>
      <c r="M93" s="59"/>
      <c r="N93" s="59"/>
      <c r="O93" s="59"/>
      <c r="P93" s="59"/>
      <c r="Q93" s="59"/>
      <c r="R93" s="60"/>
      <c r="S93" s="11">
        <v>42200</v>
      </c>
      <c r="T93" t="s">
        <v>230</v>
      </c>
    </row>
    <row r="94" spans="1:20" ht="15.75" x14ac:dyDescent="0.25">
      <c r="A94" s="9" t="s">
        <v>53</v>
      </c>
      <c r="B94" s="12">
        <v>42200</v>
      </c>
      <c r="C94" s="5">
        <v>145002</v>
      </c>
      <c r="D94">
        <v>13</v>
      </c>
      <c r="E94">
        <v>0</v>
      </c>
      <c r="F94">
        <v>0</v>
      </c>
      <c r="G94">
        <v>0</v>
      </c>
      <c r="H94">
        <v>0</v>
      </c>
      <c r="I94" s="8">
        <v>1</v>
      </c>
      <c r="J94" t="s">
        <v>157</v>
      </c>
      <c r="K94" s="58" t="s">
        <v>231</v>
      </c>
      <c r="L94" s="59"/>
      <c r="M94" s="59"/>
      <c r="N94" s="59"/>
      <c r="O94" s="59"/>
      <c r="P94" s="59"/>
      <c r="Q94" s="59"/>
      <c r="R94" s="60"/>
      <c r="S94" s="11">
        <v>42200</v>
      </c>
      <c r="T94" t="s">
        <v>160</v>
      </c>
    </row>
    <row r="95" spans="1:20" ht="15.75" x14ac:dyDescent="0.25">
      <c r="A95" s="9" t="s">
        <v>165</v>
      </c>
      <c r="B95" s="12">
        <v>42200</v>
      </c>
      <c r="C95" s="5">
        <v>2807</v>
      </c>
      <c r="D95">
        <v>13</v>
      </c>
      <c r="E95">
        <v>0</v>
      </c>
      <c r="F95">
        <v>0</v>
      </c>
      <c r="G95">
        <v>0</v>
      </c>
      <c r="H95">
        <v>0</v>
      </c>
      <c r="I95" s="8">
        <v>1</v>
      </c>
      <c r="J95" t="s">
        <v>157</v>
      </c>
      <c r="K95" s="58" t="s">
        <v>232</v>
      </c>
      <c r="L95" s="59"/>
      <c r="M95" s="59"/>
      <c r="N95" s="59"/>
      <c r="O95" s="59"/>
      <c r="P95" s="59"/>
      <c r="Q95" s="59"/>
      <c r="R95" s="60"/>
      <c r="S95" s="11">
        <v>42200</v>
      </c>
      <c r="T95" t="s">
        <v>160</v>
      </c>
    </row>
    <row r="96" spans="1:20" ht="15.75" x14ac:dyDescent="0.25">
      <c r="A96" s="9" t="s">
        <v>165</v>
      </c>
      <c r="B96" s="12">
        <v>42200</v>
      </c>
      <c r="C96" s="5">
        <v>11871</v>
      </c>
      <c r="D96">
        <v>13</v>
      </c>
      <c r="E96">
        <v>0</v>
      </c>
      <c r="F96">
        <v>0</v>
      </c>
      <c r="G96">
        <v>0</v>
      </c>
      <c r="H96">
        <v>0</v>
      </c>
      <c r="I96" s="8">
        <v>1</v>
      </c>
      <c r="J96" t="s">
        <v>157</v>
      </c>
      <c r="K96" s="58" t="s">
        <v>232</v>
      </c>
      <c r="L96" s="59"/>
      <c r="M96" s="59"/>
      <c r="N96" s="59"/>
      <c r="O96" s="59"/>
      <c r="P96" s="59"/>
      <c r="Q96" s="59"/>
      <c r="R96" s="60"/>
      <c r="S96" s="11">
        <v>42200</v>
      </c>
      <c r="T96" t="s">
        <v>160</v>
      </c>
    </row>
    <row r="97" spans="1:20" ht="15.75" x14ac:dyDescent="0.25">
      <c r="A97" s="9" t="s">
        <v>190</v>
      </c>
      <c r="B97" s="12">
        <v>42206</v>
      </c>
      <c r="C97" s="5">
        <v>82334</v>
      </c>
      <c r="D97">
        <v>13</v>
      </c>
      <c r="E97">
        <v>0</v>
      </c>
      <c r="F97">
        <v>17</v>
      </c>
      <c r="G97">
        <v>0</v>
      </c>
      <c r="H97">
        <v>0</v>
      </c>
      <c r="I97" s="8">
        <v>1</v>
      </c>
      <c r="J97" t="s">
        <v>157</v>
      </c>
      <c r="K97" s="58" t="s">
        <v>233</v>
      </c>
      <c r="L97" s="59"/>
      <c r="M97" s="59"/>
      <c r="N97" s="59"/>
      <c r="O97" s="59"/>
      <c r="P97" s="59"/>
      <c r="Q97" s="59"/>
      <c r="R97" s="60"/>
      <c r="S97" s="11">
        <v>42206</v>
      </c>
      <c r="T97" t="s">
        <v>230</v>
      </c>
    </row>
    <row r="98" spans="1:20" ht="15.75" x14ac:dyDescent="0.25">
      <c r="A98" s="9" t="s">
        <v>215</v>
      </c>
      <c r="B98" s="12">
        <v>42202</v>
      </c>
      <c r="C98" s="5">
        <v>57613</v>
      </c>
      <c r="D98">
        <v>9</v>
      </c>
      <c r="E98">
        <v>0</v>
      </c>
      <c r="F98">
        <v>21</v>
      </c>
      <c r="G98">
        <v>0</v>
      </c>
      <c r="H98">
        <v>0</v>
      </c>
      <c r="I98" s="8">
        <v>1</v>
      </c>
      <c r="J98" t="s">
        <v>157</v>
      </c>
      <c r="K98" s="58" t="s">
        <v>234</v>
      </c>
      <c r="L98" s="59"/>
      <c r="M98" s="59"/>
      <c r="N98" s="59"/>
      <c r="O98" s="59"/>
      <c r="P98" s="59"/>
      <c r="Q98" s="59"/>
      <c r="R98" s="60"/>
      <c r="S98" s="11">
        <v>42206</v>
      </c>
      <c r="T98" t="s">
        <v>230</v>
      </c>
    </row>
    <row r="99" spans="1:20" ht="15.75" x14ac:dyDescent="0.25">
      <c r="A99" s="9" t="s">
        <v>215</v>
      </c>
      <c r="B99" s="12">
        <v>42202</v>
      </c>
      <c r="C99" s="5">
        <v>23475</v>
      </c>
      <c r="D99">
        <v>9</v>
      </c>
      <c r="E99">
        <v>0</v>
      </c>
      <c r="F99">
        <v>21</v>
      </c>
      <c r="G99">
        <v>0</v>
      </c>
      <c r="H99">
        <v>0</v>
      </c>
      <c r="I99" s="8">
        <v>1</v>
      </c>
      <c r="J99" t="s">
        <v>157</v>
      </c>
      <c r="K99" s="58" t="s">
        <v>234</v>
      </c>
      <c r="L99" s="59"/>
      <c r="M99" s="59"/>
      <c r="N99" s="59"/>
      <c r="O99" s="59"/>
      <c r="P99" s="59"/>
      <c r="Q99" s="59"/>
      <c r="R99" s="60"/>
      <c r="S99" s="11">
        <v>42206</v>
      </c>
      <c r="T99" t="s">
        <v>230</v>
      </c>
    </row>
    <row r="100" spans="1:20" ht="15.75" x14ac:dyDescent="0.25">
      <c r="A100" s="9" t="s">
        <v>53</v>
      </c>
      <c r="B100" s="12">
        <v>42205</v>
      </c>
      <c r="C100" s="5">
        <v>6528</v>
      </c>
      <c r="D100">
        <v>22</v>
      </c>
      <c r="E100">
        <v>0</v>
      </c>
      <c r="F100">
        <v>8</v>
      </c>
      <c r="G100">
        <v>0</v>
      </c>
      <c r="H100">
        <v>0</v>
      </c>
      <c r="I100" s="8">
        <v>1</v>
      </c>
      <c r="J100" t="s">
        <v>157</v>
      </c>
      <c r="K100" s="58" t="s">
        <v>235</v>
      </c>
      <c r="L100" s="59"/>
      <c r="M100" s="59"/>
      <c r="N100" s="59"/>
      <c r="O100" s="59"/>
      <c r="P100" s="59"/>
      <c r="Q100" s="59"/>
      <c r="R100" s="60"/>
      <c r="S100" s="11">
        <v>42206</v>
      </c>
      <c r="T100" t="s">
        <v>230</v>
      </c>
    </row>
    <row r="101" spans="1:20" ht="15.75" x14ac:dyDescent="0.25">
      <c r="A101" s="9" t="s">
        <v>53</v>
      </c>
      <c r="B101" s="12">
        <v>42205</v>
      </c>
      <c r="C101" s="5">
        <v>6528</v>
      </c>
      <c r="D101">
        <v>22</v>
      </c>
      <c r="E101">
        <v>0</v>
      </c>
      <c r="F101">
        <v>8</v>
      </c>
      <c r="G101">
        <v>0</v>
      </c>
      <c r="H101">
        <v>0</v>
      </c>
      <c r="I101" s="8">
        <v>1</v>
      </c>
      <c r="J101" t="s">
        <v>157</v>
      </c>
      <c r="K101" s="58" t="s">
        <v>236</v>
      </c>
      <c r="L101" s="59"/>
      <c r="M101" s="59"/>
      <c r="N101" s="59"/>
      <c r="O101" s="59"/>
      <c r="P101" s="59"/>
      <c r="Q101" s="59"/>
      <c r="R101" s="60"/>
      <c r="S101" s="11">
        <v>42206</v>
      </c>
      <c r="T101" t="s">
        <v>230</v>
      </c>
    </row>
    <row r="102" spans="1:20" ht="15.75" x14ac:dyDescent="0.25">
      <c r="A102" s="9" t="s">
        <v>53</v>
      </c>
      <c r="B102" s="12">
        <v>42205</v>
      </c>
      <c r="C102" s="5">
        <v>13226</v>
      </c>
      <c r="D102">
        <v>22</v>
      </c>
      <c r="E102">
        <v>0</v>
      </c>
      <c r="F102">
        <v>8</v>
      </c>
      <c r="G102">
        <v>0</v>
      </c>
      <c r="H102">
        <v>0</v>
      </c>
      <c r="I102" s="8">
        <v>1</v>
      </c>
      <c r="J102" t="s">
        <v>157</v>
      </c>
      <c r="K102" s="58" t="s">
        <v>237</v>
      </c>
      <c r="L102" s="59"/>
      <c r="M102" s="59"/>
      <c r="N102" s="59"/>
      <c r="O102" s="59"/>
      <c r="P102" s="59"/>
      <c r="Q102" s="59"/>
      <c r="R102" s="60"/>
      <c r="S102" s="11">
        <v>42206</v>
      </c>
      <c r="T102" t="s">
        <v>230</v>
      </c>
    </row>
    <row r="103" spans="1:20" ht="15.75" x14ac:dyDescent="0.25">
      <c r="A103" s="9" t="s">
        <v>52</v>
      </c>
      <c r="B103" s="12">
        <v>42205</v>
      </c>
      <c r="C103" s="35">
        <v>27663</v>
      </c>
      <c r="D103">
        <v>22</v>
      </c>
      <c r="E103">
        <v>0</v>
      </c>
      <c r="F103">
        <v>8</v>
      </c>
      <c r="G103">
        <v>0</v>
      </c>
      <c r="H103">
        <v>0</v>
      </c>
      <c r="I103" s="8">
        <v>1</v>
      </c>
      <c r="J103" t="s">
        <v>157</v>
      </c>
      <c r="K103" s="58" t="s">
        <v>238</v>
      </c>
      <c r="L103" s="59"/>
      <c r="M103" s="59"/>
      <c r="N103" s="59"/>
      <c r="O103" s="59"/>
      <c r="P103" s="59"/>
      <c r="Q103" s="59"/>
      <c r="R103" s="60"/>
      <c r="S103" s="11">
        <v>42206</v>
      </c>
      <c r="T103" t="s">
        <v>230</v>
      </c>
    </row>
    <row r="104" spans="1:20" ht="15.75" x14ac:dyDescent="0.25">
      <c r="A104" s="9" t="s">
        <v>52</v>
      </c>
      <c r="B104" s="12">
        <v>42205</v>
      </c>
      <c r="C104" s="35">
        <v>39997</v>
      </c>
      <c r="D104">
        <v>22</v>
      </c>
      <c r="E104">
        <v>0</v>
      </c>
      <c r="F104">
        <v>8</v>
      </c>
      <c r="G104">
        <v>0</v>
      </c>
      <c r="H104">
        <v>0</v>
      </c>
      <c r="I104" s="8">
        <v>1</v>
      </c>
      <c r="J104" t="s">
        <v>157</v>
      </c>
      <c r="K104" s="58" t="s">
        <v>239</v>
      </c>
      <c r="L104" s="59"/>
      <c r="M104" s="59"/>
      <c r="N104" s="59"/>
      <c r="O104" s="59"/>
      <c r="P104" s="59"/>
      <c r="Q104" s="59"/>
      <c r="R104" s="60"/>
      <c r="S104" s="11">
        <v>42206</v>
      </c>
      <c r="T104" t="s">
        <v>230</v>
      </c>
    </row>
    <row r="105" spans="1:20" ht="15.75" x14ac:dyDescent="0.25">
      <c r="A105" s="9" t="s">
        <v>215</v>
      </c>
      <c r="B105" s="12">
        <v>42205</v>
      </c>
      <c r="C105" s="35">
        <v>116698</v>
      </c>
      <c r="D105">
        <v>9</v>
      </c>
      <c r="E105">
        <v>0</v>
      </c>
      <c r="F105">
        <v>21</v>
      </c>
      <c r="G105">
        <v>0</v>
      </c>
      <c r="H105">
        <v>0</v>
      </c>
      <c r="I105" s="8">
        <v>1</v>
      </c>
      <c r="J105" t="s">
        <v>157</v>
      </c>
      <c r="K105" s="58" t="s">
        <v>240</v>
      </c>
      <c r="L105" s="59"/>
      <c r="M105" s="59"/>
      <c r="N105" s="59"/>
      <c r="O105" s="59"/>
      <c r="P105" s="59"/>
      <c r="Q105" s="59"/>
      <c r="R105" s="60"/>
      <c r="S105" s="11">
        <v>42206</v>
      </c>
      <c r="T105" t="s">
        <v>230</v>
      </c>
    </row>
    <row r="106" spans="1:20" ht="15.75" x14ac:dyDescent="0.25">
      <c r="A106" s="6" t="s">
        <v>190</v>
      </c>
      <c r="B106" s="10">
        <v>42209</v>
      </c>
      <c r="C106" s="5">
        <v>221965</v>
      </c>
      <c r="D106">
        <v>20</v>
      </c>
      <c r="E106">
        <v>0</v>
      </c>
      <c r="F106">
        <v>0</v>
      </c>
      <c r="G106">
        <v>0</v>
      </c>
      <c r="H106">
        <v>0</v>
      </c>
      <c r="I106" s="8">
        <v>1</v>
      </c>
      <c r="J106" t="s">
        <v>89</v>
      </c>
      <c r="K106" s="58" t="s">
        <v>218</v>
      </c>
      <c r="L106" s="59"/>
      <c r="M106" s="59"/>
      <c r="N106" s="59"/>
      <c r="O106" s="59"/>
      <c r="P106" s="59"/>
      <c r="Q106" s="59"/>
      <c r="R106" s="60"/>
      <c r="S106" s="11">
        <v>42212</v>
      </c>
      <c r="T106" t="s">
        <v>230</v>
      </c>
    </row>
    <row r="107" spans="1:20" ht="15.75" x14ac:dyDescent="0.25">
      <c r="A107" s="9" t="s">
        <v>52</v>
      </c>
      <c r="B107" s="12">
        <v>42215</v>
      </c>
      <c r="C107" s="5">
        <v>65373</v>
      </c>
      <c r="D107">
        <v>13</v>
      </c>
      <c r="E107">
        <v>0</v>
      </c>
      <c r="F107">
        <v>17</v>
      </c>
      <c r="G107">
        <v>0</v>
      </c>
      <c r="H107">
        <v>0</v>
      </c>
      <c r="I107" s="8">
        <v>1</v>
      </c>
      <c r="J107" t="s">
        <v>157</v>
      </c>
      <c r="K107" s="58" t="s">
        <v>241</v>
      </c>
      <c r="L107" s="59"/>
      <c r="M107" s="59"/>
      <c r="N107" s="59"/>
      <c r="O107" s="59"/>
      <c r="P107" s="59"/>
      <c r="Q107" s="59"/>
      <c r="R107" s="60"/>
      <c r="S107" s="11">
        <v>42215</v>
      </c>
      <c r="T107" t="s">
        <v>160</v>
      </c>
    </row>
    <row r="108" spans="1:20" ht="15.75" x14ac:dyDescent="0.25">
      <c r="A108" s="9" t="s">
        <v>52</v>
      </c>
      <c r="B108" s="12">
        <v>42215</v>
      </c>
      <c r="C108" s="5">
        <v>144908</v>
      </c>
      <c r="D108">
        <v>13</v>
      </c>
      <c r="E108">
        <v>0</v>
      </c>
      <c r="F108">
        <v>17</v>
      </c>
      <c r="G108">
        <v>0</v>
      </c>
      <c r="H108">
        <v>0</v>
      </c>
      <c r="I108" s="8">
        <v>1</v>
      </c>
      <c r="J108" t="s">
        <v>157</v>
      </c>
      <c r="K108" s="58" t="s">
        <v>218</v>
      </c>
      <c r="L108" s="59"/>
      <c r="M108" s="59"/>
      <c r="N108" s="59"/>
      <c r="O108" s="59"/>
      <c r="P108" s="59"/>
      <c r="Q108" s="59"/>
      <c r="R108" s="60"/>
      <c r="S108" s="11">
        <v>42215</v>
      </c>
      <c r="T108" t="s">
        <v>160</v>
      </c>
    </row>
    <row r="109" spans="1:20" ht="15.75" x14ac:dyDescent="0.25">
      <c r="A109" s="9" t="s">
        <v>53</v>
      </c>
      <c r="B109" s="12">
        <v>42215</v>
      </c>
      <c r="C109" s="5">
        <v>6295</v>
      </c>
      <c r="D109">
        <v>13</v>
      </c>
      <c r="E109">
        <v>0</v>
      </c>
      <c r="F109">
        <v>0</v>
      </c>
      <c r="G109">
        <v>0</v>
      </c>
      <c r="H109">
        <v>0</v>
      </c>
      <c r="I109" s="8">
        <v>1</v>
      </c>
      <c r="J109" t="s">
        <v>157</v>
      </c>
      <c r="K109" s="58" t="s">
        <v>218</v>
      </c>
      <c r="L109" s="59"/>
      <c r="M109" s="59"/>
      <c r="N109" s="59"/>
      <c r="O109" s="59"/>
      <c r="P109" s="59"/>
      <c r="Q109" s="59"/>
      <c r="R109" s="60"/>
      <c r="S109" s="11">
        <v>42215</v>
      </c>
      <c r="T109" t="s">
        <v>160</v>
      </c>
    </row>
    <row r="110" spans="1:20" ht="15.75" x14ac:dyDescent="0.25">
      <c r="A110" s="9" t="s">
        <v>53</v>
      </c>
      <c r="B110" s="12">
        <v>42215</v>
      </c>
      <c r="C110" s="5">
        <v>6454</v>
      </c>
      <c r="D110">
        <v>13</v>
      </c>
      <c r="E110">
        <v>0</v>
      </c>
      <c r="F110">
        <v>0</v>
      </c>
      <c r="G110">
        <v>0</v>
      </c>
      <c r="H110">
        <v>0</v>
      </c>
      <c r="I110" s="8">
        <v>1</v>
      </c>
      <c r="J110" t="s">
        <v>157</v>
      </c>
      <c r="K110" s="58" t="s">
        <v>242</v>
      </c>
      <c r="L110" s="59"/>
      <c r="M110" s="59"/>
      <c r="N110" s="59"/>
      <c r="O110" s="59"/>
      <c r="P110" s="59"/>
      <c r="Q110" s="59"/>
      <c r="R110" s="60"/>
      <c r="S110" s="11">
        <v>42215</v>
      </c>
      <c r="T110" t="s">
        <v>160</v>
      </c>
    </row>
    <row r="111" spans="1:20" ht="15.75" x14ac:dyDescent="0.25">
      <c r="A111" s="9" t="s">
        <v>215</v>
      </c>
      <c r="B111" s="12">
        <v>42215</v>
      </c>
      <c r="C111" s="5">
        <v>76104</v>
      </c>
      <c r="D111">
        <v>13</v>
      </c>
      <c r="E111">
        <v>0</v>
      </c>
      <c r="F111">
        <v>0</v>
      </c>
      <c r="G111">
        <v>0</v>
      </c>
      <c r="H111">
        <v>0</v>
      </c>
      <c r="I111" s="8">
        <v>1</v>
      </c>
      <c r="J111" t="s">
        <v>157</v>
      </c>
      <c r="K111" s="58" t="s">
        <v>243</v>
      </c>
      <c r="L111" s="59"/>
      <c r="M111" s="59"/>
      <c r="N111" s="59"/>
      <c r="O111" s="59"/>
      <c r="P111" s="59"/>
      <c r="Q111" s="59"/>
      <c r="R111" s="60"/>
      <c r="S111" s="11">
        <v>42215</v>
      </c>
      <c r="T111" t="s">
        <v>160</v>
      </c>
    </row>
    <row r="112" spans="1:20" ht="15.75" x14ac:dyDescent="0.25">
      <c r="A112" s="9" t="s">
        <v>215</v>
      </c>
      <c r="B112" s="12">
        <v>42215</v>
      </c>
      <c r="C112" s="5">
        <v>8665</v>
      </c>
      <c r="D112">
        <v>13</v>
      </c>
      <c r="E112">
        <v>0</v>
      </c>
      <c r="F112">
        <v>0</v>
      </c>
      <c r="G112">
        <v>0</v>
      </c>
      <c r="H112">
        <v>0</v>
      </c>
      <c r="I112" s="8">
        <v>1</v>
      </c>
      <c r="J112" t="s">
        <v>157</v>
      </c>
      <c r="K112" s="58" t="s">
        <v>244</v>
      </c>
      <c r="L112" s="59"/>
      <c r="M112" s="59"/>
      <c r="N112" s="59"/>
      <c r="O112" s="59"/>
      <c r="P112" s="59"/>
      <c r="Q112" s="59"/>
      <c r="R112" s="60"/>
      <c r="S112" s="11">
        <v>42215</v>
      </c>
      <c r="T112" t="s">
        <v>160</v>
      </c>
    </row>
    <row r="113" spans="1:20" ht="15.75" x14ac:dyDescent="0.25">
      <c r="A113" s="9" t="s">
        <v>213</v>
      </c>
      <c r="B113" s="12">
        <v>42215</v>
      </c>
      <c r="C113" s="5">
        <v>21211</v>
      </c>
      <c r="D113">
        <v>7</v>
      </c>
      <c r="E113">
        <v>1</v>
      </c>
      <c r="F113">
        <v>22</v>
      </c>
      <c r="G113">
        <v>0</v>
      </c>
      <c r="H113">
        <v>1</v>
      </c>
      <c r="I113" s="8">
        <v>0.875</v>
      </c>
      <c r="J113" t="s">
        <v>157</v>
      </c>
      <c r="K113" s="58" t="s">
        <v>219</v>
      </c>
      <c r="L113" s="59"/>
      <c r="M113" s="59"/>
      <c r="N113" s="59"/>
      <c r="O113" s="59"/>
      <c r="P113" s="59"/>
      <c r="Q113" s="59"/>
      <c r="R113" s="60"/>
      <c r="S113" s="11">
        <v>42215</v>
      </c>
      <c r="T113" t="s">
        <v>160</v>
      </c>
    </row>
    <row r="114" spans="1:20" ht="15.75" x14ac:dyDescent="0.25">
      <c r="A114" s="9" t="s">
        <v>213</v>
      </c>
      <c r="B114" s="12">
        <v>42215</v>
      </c>
      <c r="C114" s="5">
        <v>66604</v>
      </c>
      <c r="D114">
        <v>8</v>
      </c>
      <c r="E114">
        <v>0</v>
      </c>
      <c r="F114">
        <v>22</v>
      </c>
      <c r="G114">
        <v>0</v>
      </c>
      <c r="H114">
        <v>0</v>
      </c>
      <c r="I114" s="8">
        <v>1</v>
      </c>
      <c r="J114" t="s">
        <v>157</v>
      </c>
      <c r="K114" s="50" t="s">
        <v>242</v>
      </c>
      <c r="L114" s="51"/>
      <c r="M114" s="51"/>
      <c r="N114" s="51"/>
      <c r="O114" s="51"/>
      <c r="P114" s="51"/>
      <c r="Q114" s="51"/>
      <c r="R114" s="52"/>
      <c r="S114" s="11">
        <v>42215</v>
      </c>
      <c r="T114" t="s">
        <v>160</v>
      </c>
    </row>
    <row r="115" spans="1:20" ht="15.75" x14ac:dyDescent="0.25">
      <c r="A115" s="6" t="s">
        <v>50</v>
      </c>
      <c r="B115" s="10">
        <v>42215</v>
      </c>
      <c r="C115" s="5">
        <v>77396</v>
      </c>
      <c r="D115">
        <v>20</v>
      </c>
      <c r="E115">
        <v>0</v>
      </c>
      <c r="F115">
        <v>0</v>
      </c>
      <c r="G115">
        <v>0</v>
      </c>
      <c r="H115">
        <v>0</v>
      </c>
      <c r="I115" s="8">
        <v>1</v>
      </c>
      <c r="J115" t="s">
        <v>89</v>
      </c>
      <c r="K115" s="50" t="s">
        <v>247</v>
      </c>
      <c r="L115" s="51"/>
      <c r="M115" s="51"/>
      <c r="N115" s="51"/>
      <c r="O115" s="51"/>
      <c r="P115" s="51"/>
      <c r="Q115" s="51"/>
      <c r="R115" s="52"/>
      <c r="S115" s="11">
        <v>42215</v>
      </c>
      <c r="T115" t="s">
        <v>160</v>
      </c>
    </row>
    <row r="116" spans="1:20" ht="15.75" x14ac:dyDescent="0.25">
      <c r="A116" s="6" t="s">
        <v>50</v>
      </c>
      <c r="B116" s="10">
        <v>42215</v>
      </c>
      <c r="C116" s="5">
        <v>64930</v>
      </c>
      <c r="D116">
        <v>19</v>
      </c>
      <c r="E116">
        <v>1</v>
      </c>
      <c r="F116">
        <v>0</v>
      </c>
      <c r="G116">
        <v>0</v>
      </c>
      <c r="H116">
        <v>1</v>
      </c>
      <c r="I116" s="8">
        <v>0.95</v>
      </c>
      <c r="J116" t="s">
        <v>89</v>
      </c>
      <c r="K116" s="58" t="s">
        <v>248</v>
      </c>
      <c r="L116" s="59"/>
      <c r="M116" s="59"/>
      <c r="N116" s="59"/>
      <c r="O116" s="59"/>
      <c r="P116" s="59"/>
      <c r="Q116" s="59"/>
      <c r="R116" s="60"/>
      <c r="S116" s="11">
        <v>42215</v>
      </c>
      <c r="T116" t="s">
        <v>160</v>
      </c>
    </row>
    <row r="117" spans="1:20" ht="15.75" x14ac:dyDescent="0.25">
      <c r="A117" s="9" t="s">
        <v>52</v>
      </c>
      <c r="B117" s="12">
        <v>42221</v>
      </c>
      <c r="C117" s="5">
        <v>39997</v>
      </c>
      <c r="D117">
        <v>13</v>
      </c>
      <c r="E117">
        <v>0</v>
      </c>
      <c r="F117">
        <v>17</v>
      </c>
      <c r="G117">
        <v>0</v>
      </c>
      <c r="H117">
        <v>0</v>
      </c>
      <c r="I117" s="8">
        <v>1</v>
      </c>
      <c r="J117" t="s">
        <v>157</v>
      </c>
      <c r="K117" s="58" t="s">
        <v>248</v>
      </c>
      <c r="L117" s="59"/>
      <c r="M117" s="59"/>
      <c r="N117" s="59"/>
      <c r="O117" s="59"/>
      <c r="P117" s="59"/>
      <c r="Q117" s="59"/>
      <c r="R117" s="60"/>
      <c r="S117" s="11">
        <v>42221</v>
      </c>
      <c r="T117" t="s">
        <v>160</v>
      </c>
    </row>
    <row r="118" spans="1:20" ht="15.75" x14ac:dyDescent="0.25">
      <c r="A118" s="9" t="s">
        <v>52</v>
      </c>
      <c r="B118" s="12">
        <v>42221</v>
      </c>
      <c r="C118" s="5">
        <v>70675</v>
      </c>
      <c r="D118">
        <v>13</v>
      </c>
      <c r="E118">
        <v>0</v>
      </c>
      <c r="F118">
        <v>17</v>
      </c>
      <c r="G118">
        <v>0</v>
      </c>
      <c r="H118">
        <v>0</v>
      </c>
      <c r="I118" s="8">
        <v>1</v>
      </c>
      <c r="J118" t="s">
        <v>157</v>
      </c>
      <c r="K118" s="58" t="s">
        <v>249</v>
      </c>
      <c r="L118" s="59"/>
      <c r="M118" s="59"/>
      <c r="N118" s="59"/>
      <c r="O118" s="59"/>
      <c r="P118" s="59"/>
      <c r="Q118" s="59"/>
      <c r="R118" s="60"/>
      <c r="S118" s="11">
        <v>42221</v>
      </c>
      <c r="T118" t="s">
        <v>160</v>
      </c>
    </row>
    <row r="119" spans="1:20" ht="15.75" x14ac:dyDescent="0.25">
      <c r="A119" s="9" t="s">
        <v>213</v>
      </c>
      <c r="B119" s="12">
        <v>42221</v>
      </c>
      <c r="C119" s="5">
        <v>116875</v>
      </c>
      <c r="D119">
        <v>22</v>
      </c>
      <c r="E119">
        <v>0</v>
      </c>
      <c r="F119">
        <v>8</v>
      </c>
      <c r="G119">
        <v>0</v>
      </c>
      <c r="H119">
        <v>0</v>
      </c>
      <c r="I119" s="8">
        <v>1</v>
      </c>
      <c r="J119" t="s">
        <v>157</v>
      </c>
      <c r="K119" s="58" t="s">
        <v>242</v>
      </c>
      <c r="L119" s="59"/>
      <c r="M119" s="59"/>
      <c r="N119" s="59"/>
      <c r="O119" s="59"/>
      <c r="P119" s="59"/>
      <c r="Q119" s="59"/>
      <c r="R119" s="60"/>
      <c r="S119" s="11">
        <v>42221</v>
      </c>
      <c r="T119" t="s">
        <v>160</v>
      </c>
    </row>
    <row r="120" spans="1:20" ht="15.75" x14ac:dyDescent="0.25">
      <c r="A120" s="9" t="s">
        <v>213</v>
      </c>
      <c r="B120" s="12">
        <v>42221</v>
      </c>
      <c r="C120" s="5">
        <v>9331</v>
      </c>
      <c r="D120">
        <v>13</v>
      </c>
      <c r="E120">
        <v>0</v>
      </c>
      <c r="F120">
        <v>17</v>
      </c>
      <c r="G120">
        <v>0</v>
      </c>
      <c r="H120">
        <v>0</v>
      </c>
      <c r="I120" s="8">
        <v>1</v>
      </c>
      <c r="J120" t="s">
        <v>157</v>
      </c>
      <c r="K120" s="58" t="s">
        <v>242</v>
      </c>
      <c r="L120" s="59"/>
      <c r="M120" s="59"/>
      <c r="N120" s="59"/>
      <c r="O120" s="59"/>
      <c r="P120" s="59"/>
      <c r="Q120" s="59"/>
      <c r="R120" s="60"/>
      <c r="S120" s="11">
        <v>42221</v>
      </c>
      <c r="T120" t="s">
        <v>160</v>
      </c>
    </row>
    <row r="121" spans="1:20" ht="15.75" x14ac:dyDescent="0.25">
      <c r="A121" s="9" t="s">
        <v>53</v>
      </c>
      <c r="B121" s="12">
        <v>42221</v>
      </c>
      <c r="C121" s="5">
        <v>6454</v>
      </c>
      <c r="D121">
        <v>13</v>
      </c>
      <c r="E121">
        <v>0</v>
      </c>
      <c r="F121">
        <v>17</v>
      </c>
      <c r="G121">
        <v>0</v>
      </c>
      <c r="H121">
        <v>0</v>
      </c>
      <c r="I121" s="8">
        <v>1</v>
      </c>
      <c r="J121" t="s">
        <v>157</v>
      </c>
      <c r="K121" s="58" t="s">
        <v>242</v>
      </c>
      <c r="L121" s="59"/>
      <c r="M121" s="59"/>
      <c r="N121" s="59"/>
      <c r="O121" s="59"/>
      <c r="P121" s="59"/>
      <c r="Q121" s="59"/>
      <c r="R121" s="60"/>
      <c r="S121" s="11">
        <v>42221</v>
      </c>
      <c r="T121" t="s">
        <v>160</v>
      </c>
    </row>
    <row r="122" spans="1:20" ht="15.75" x14ac:dyDescent="0.25">
      <c r="A122" s="9" t="s">
        <v>53</v>
      </c>
      <c r="B122" s="12">
        <v>42221</v>
      </c>
      <c r="C122" s="5">
        <v>75113</v>
      </c>
      <c r="D122">
        <v>13</v>
      </c>
      <c r="E122">
        <v>0</v>
      </c>
      <c r="F122">
        <v>17</v>
      </c>
      <c r="G122">
        <v>0</v>
      </c>
      <c r="H122">
        <v>0</v>
      </c>
      <c r="I122" s="8">
        <v>1</v>
      </c>
      <c r="J122" t="s">
        <v>157</v>
      </c>
      <c r="K122" s="50" t="s">
        <v>248</v>
      </c>
      <c r="L122" s="51"/>
      <c r="M122" s="51"/>
      <c r="N122" s="51"/>
      <c r="O122" s="51"/>
      <c r="P122" s="51"/>
      <c r="Q122" s="51"/>
      <c r="R122" s="52"/>
      <c r="S122" s="11">
        <v>42221</v>
      </c>
      <c r="T122" t="s">
        <v>160</v>
      </c>
    </row>
    <row r="123" spans="1:20" ht="15.75" x14ac:dyDescent="0.25">
      <c r="A123" s="6" t="s">
        <v>50</v>
      </c>
      <c r="B123" s="10">
        <v>42221</v>
      </c>
      <c r="C123" s="5">
        <v>90766</v>
      </c>
      <c r="D123">
        <v>20</v>
      </c>
      <c r="E123">
        <v>0</v>
      </c>
      <c r="F123">
        <v>0</v>
      </c>
      <c r="G123">
        <v>0</v>
      </c>
      <c r="H123">
        <v>0</v>
      </c>
      <c r="I123" s="8">
        <v>1</v>
      </c>
      <c r="J123" t="s">
        <v>89</v>
      </c>
      <c r="K123" s="50" t="s">
        <v>248</v>
      </c>
      <c r="L123" s="51"/>
      <c r="M123" s="51"/>
      <c r="N123" s="51"/>
      <c r="O123" s="51"/>
      <c r="P123" s="51"/>
      <c r="Q123" s="51"/>
      <c r="R123" s="52"/>
      <c r="S123" s="11">
        <v>42221</v>
      </c>
      <c r="T123" t="s">
        <v>160</v>
      </c>
    </row>
    <row r="124" spans="1:20" s="28" customFormat="1" ht="16.5" thickBot="1" x14ac:dyDescent="0.3">
      <c r="A124" s="39" t="s">
        <v>50</v>
      </c>
      <c r="B124" s="27">
        <v>42221</v>
      </c>
      <c r="C124" s="34">
        <v>9017</v>
      </c>
      <c r="D124" s="28">
        <v>20</v>
      </c>
      <c r="E124" s="28">
        <v>0</v>
      </c>
      <c r="F124" s="28">
        <v>0</v>
      </c>
      <c r="G124" s="28">
        <v>0</v>
      </c>
      <c r="H124" s="28">
        <v>0</v>
      </c>
      <c r="I124" s="29">
        <v>1</v>
      </c>
      <c r="J124" s="28" t="s">
        <v>89</v>
      </c>
      <c r="K124" s="55" t="s">
        <v>248</v>
      </c>
      <c r="L124" s="56"/>
      <c r="M124" s="56"/>
      <c r="N124" s="56"/>
      <c r="O124" s="56"/>
      <c r="P124" s="56"/>
      <c r="Q124" s="56"/>
      <c r="R124" s="57"/>
      <c r="S124" s="30">
        <v>42221</v>
      </c>
      <c r="T124" s="28" t="s">
        <v>160</v>
      </c>
    </row>
    <row r="125" spans="1:20" ht="15.75" x14ac:dyDescent="0.25">
      <c r="A125" s="36" t="s">
        <v>52</v>
      </c>
      <c r="B125" s="37">
        <v>42228</v>
      </c>
      <c r="C125" s="38">
        <v>71483</v>
      </c>
      <c r="D125">
        <v>13</v>
      </c>
      <c r="E125">
        <v>0</v>
      </c>
      <c r="F125">
        <v>17</v>
      </c>
      <c r="G125">
        <v>0</v>
      </c>
      <c r="H125">
        <v>0</v>
      </c>
      <c r="I125" s="8">
        <v>1</v>
      </c>
      <c r="J125" t="s">
        <v>157</v>
      </c>
      <c r="K125" s="77" t="s">
        <v>231</v>
      </c>
      <c r="L125" s="78"/>
      <c r="M125" s="78"/>
      <c r="N125" s="78"/>
      <c r="O125" s="78"/>
      <c r="P125" s="78"/>
      <c r="Q125" s="78"/>
      <c r="R125" s="79"/>
      <c r="S125" s="11">
        <v>42228</v>
      </c>
      <c r="T125" t="s">
        <v>160</v>
      </c>
    </row>
    <row r="126" spans="1:20" ht="15.75" x14ac:dyDescent="0.25">
      <c r="A126" s="9" t="s">
        <v>52</v>
      </c>
      <c r="B126" s="12">
        <v>42228</v>
      </c>
      <c r="C126" s="5">
        <v>65130</v>
      </c>
      <c r="D126">
        <v>13</v>
      </c>
      <c r="E126">
        <v>0</v>
      </c>
      <c r="F126">
        <v>17</v>
      </c>
      <c r="G126">
        <v>0</v>
      </c>
      <c r="H126">
        <v>0</v>
      </c>
      <c r="I126" s="8">
        <v>1</v>
      </c>
      <c r="J126" t="s">
        <v>157</v>
      </c>
      <c r="K126" s="47" t="s">
        <v>231</v>
      </c>
      <c r="L126" s="48"/>
      <c r="M126" s="48"/>
      <c r="N126" s="48"/>
      <c r="O126" s="48"/>
      <c r="P126" s="48"/>
      <c r="Q126" s="48"/>
      <c r="R126" s="49"/>
      <c r="S126" s="11">
        <v>42228</v>
      </c>
      <c r="T126" t="s">
        <v>160</v>
      </c>
    </row>
    <row r="127" spans="1:20" ht="15.75" x14ac:dyDescent="0.25">
      <c r="A127" s="9" t="s">
        <v>53</v>
      </c>
      <c r="B127" s="12">
        <v>42228</v>
      </c>
      <c r="C127" s="5">
        <v>44724</v>
      </c>
      <c r="D127">
        <v>13</v>
      </c>
      <c r="E127">
        <v>0</v>
      </c>
      <c r="F127">
        <v>17</v>
      </c>
      <c r="G127">
        <v>0</v>
      </c>
      <c r="H127">
        <v>0</v>
      </c>
      <c r="I127" s="8">
        <v>1</v>
      </c>
      <c r="J127" t="s">
        <v>157</v>
      </c>
      <c r="K127" s="47" t="s">
        <v>242</v>
      </c>
      <c r="L127" s="48"/>
      <c r="M127" s="48"/>
      <c r="N127" s="48"/>
      <c r="O127" s="48"/>
      <c r="P127" s="48"/>
      <c r="Q127" s="48"/>
      <c r="R127" s="49"/>
      <c r="S127" s="11">
        <v>42228</v>
      </c>
      <c r="T127" t="s">
        <v>160</v>
      </c>
    </row>
    <row r="128" spans="1:20" ht="15.75" x14ac:dyDescent="0.25">
      <c r="A128" s="9" t="s">
        <v>53</v>
      </c>
      <c r="B128" s="12">
        <v>42228</v>
      </c>
      <c r="C128" s="5">
        <v>55953</v>
      </c>
      <c r="D128">
        <v>13</v>
      </c>
      <c r="E128">
        <v>0</v>
      </c>
      <c r="F128">
        <v>17</v>
      </c>
      <c r="G128">
        <v>0</v>
      </c>
      <c r="H128">
        <v>0</v>
      </c>
      <c r="I128" s="8">
        <v>1</v>
      </c>
      <c r="J128" t="s">
        <v>157</v>
      </c>
      <c r="K128" s="47" t="s">
        <v>231</v>
      </c>
      <c r="L128" s="48"/>
      <c r="M128" s="48"/>
      <c r="N128" s="48"/>
      <c r="O128" s="48"/>
      <c r="P128" s="48"/>
      <c r="Q128" s="48"/>
      <c r="R128" s="49"/>
      <c r="S128" s="11">
        <v>42228</v>
      </c>
      <c r="T128" t="s">
        <v>160</v>
      </c>
    </row>
    <row r="129" spans="1:20" ht="15.75" x14ac:dyDescent="0.25">
      <c r="A129" s="9" t="s">
        <v>225</v>
      </c>
      <c r="B129" s="12">
        <v>42228</v>
      </c>
      <c r="C129" s="5">
        <v>11471</v>
      </c>
      <c r="D129">
        <v>13</v>
      </c>
      <c r="E129">
        <v>0</v>
      </c>
      <c r="F129">
        <v>17</v>
      </c>
      <c r="G129">
        <v>0</v>
      </c>
      <c r="H129">
        <v>0</v>
      </c>
      <c r="I129" s="8">
        <v>1</v>
      </c>
      <c r="J129" t="s">
        <v>157</v>
      </c>
      <c r="K129" s="47" t="s">
        <v>242</v>
      </c>
      <c r="L129" s="48"/>
      <c r="M129" s="48"/>
      <c r="N129" s="48"/>
      <c r="O129" s="48"/>
      <c r="P129" s="48"/>
      <c r="Q129" s="48"/>
      <c r="R129" s="49"/>
      <c r="S129" s="11">
        <v>42228</v>
      </c>
      <c r="T129" t="s">
        <v>160</v>
      </c>
    </row>
    <row r="130" spans="1:20" ht="15.75" x14ac:dyDescent="0.25">
      <c r="A130" s="9" t="s">
        <v>225</v>
      </c>
      <c r="B130" s="12">
        <v>42228</v>
      </c>
      <c r="C130" s="5">
        <v>9315</v>
      </c>
      <c r="D130">
        <v>19</v>
      </c>
      <c r="E130">
        <v>1</v>
      </c>
      <c r="F130">
        <v>10</v>
      </c>
      <c r="G130">
        <v>1</v>
      </c>
      <c r="H130">
        <v>0</v>
      </c>
      <c r="I130" s="8">
        <v>1</v>
      </c>
      <c r="J130" t="s">
        <v>157</v>
      </c>
      <c r="K130" s="47" t="s">
        <v>250</v>
      </c>
      <c r="L130" s="48"/>
      <c r="M130" s="48"/>
      <c r="N130" s="48"/>
      <c r="O130" s="48"/>
      <c r="P130" s="48"/>
      <c r="Q130" s="48"/>
      <c r="R130" s="49"/>
      <c r="S130" s="11">
        <v>42228</v>
      </c>
      <c r="T130" t="s">
        <v>160</v>
      </c>
    </row>
    <row r="131" spans="1:20" ht="15.75" x14ac:dyDescent="0.25">
      <c r="A131" s="9" t="s">
        <v>215</v>
      </c>
      <c r="B131" s="12">
        <v>42228</v>
      </c>
      <c r="C131" s="5">
        <v>66437</v>
      </c>
      <c r="D131">
        <v>7</v>
      </c>
      <c r="E131">
        <v>0</v>
      </c>
      <c r="F131">
        <v>23</v>
      </c>
      <c r="G131">
        <v>2</v>
      </c>
      <c r="H131">
        <v>0</v>
      </c>
      <c r="I131" s="8">
        <v>1</v>
      </c>
      <c r="J131" t="s">
        <v>157</v>
      </c>
      <c r="K131" s="47" t="s">
        <v>219</v>
      </c>
      <c r="L131" s="48"/>
      <c r="M131" s="48"/>
      <c r="N131" s="48"/>
      <c r="O131" s="48"/>
      <c r="P131" s="48"/>
      <c r="Q131" s="48"/>
      <c r="R131" s="49"/>
      <c r="S131" s="11">
        <v>42228</v>
      </c>
      <c r="T131" t="s">
        <v>160</v>
      </c>
    </row>
    <row r="132" spans="1:20" ht="15.75" x14ac:dyDescent="0.25">
      <c r="A132" s="9" t="s">
        <v>215</v>
      </c>
      <c r="B132" s="12">
        <v>42228</v>
      </c>
      <c r="C132" s="5">
        <v>7165</v>
      </c>
      <c r="D132">
        <v>7</v>
      </c>
      <c r="E132">
        <v>0</v>
      </c>
      <c r="F132">
        <v>23</v>
      </c>
      <c r="G132">
        <v>2</v>
      </c>
      <c r="H132">
        <v>0</v>
      </c>
      <c r="I132" s="8">
        <v>1</v>
      </c>
      <c r="J132" t="s">
        <v>157</v>
      </c>
      <c r="K132" s="47" t="s">
        <v>219</v>
      </c>
      <c r="L132" s="48"/>
      <c r="M132" s="48"/>
      <c r="N132" s="48"/>
      <c r="O132" s="48"/>
      <c r="P132" s="48"/>
      <c r="Q132" s="48"/>
      <c r="R132" s="49"/>
      <c r="S132" s="11">
        <v>42228</v>
      </c>
      <c r="T132" t="s">
        <v>160</v>
      </c>
    </row>
    <row r="133" spans="1:20" ht="15.75" x14ac:dyDescent="0.25">
      <c r="A133" s="6" t="s">
        <v>50</v>
      </c>
      <c r="B133" s="10">
        <v>42228</v>
      </c>
      <c r="C133" s="5">
        <v>5970</v>
      </c>
      <c r="D133">
        <v>22</v>
      </c>
      <c r="E133">
        <v>0</v>
      </c>
      <c r="F133">
        <v>9</v>
      </c>
      <c r="G133">
        <v>0</v>
      </c>
      <c r="H133">
        <v>0</v>
      </c>
      <c r="I133" s="8">
        <v>1</v>
      </c>
      <c r="J133" t="s">
        <v>89</v>
      </c>
      <c r="K133" s="50" t="s">
        <v>248</v>
      </c>
      <c r="L133" s="51"/>
      <c r="M133" s="51"/>
      <c r="N133" s="51"/>
      <c r="O133" s="51"/>
      <c r="P133" s="51"/>
      <c r="Q133" s="51"/>
      <c r="R133" s="52"/>
      <c r="S133" s="11">
        <v>42228</v>
      </c>
      <c r="T133" t="s">
        <v>160</v>
      </c>
    </row>
    <row r="134" spans="1:20" s="28" customFormat="1" ht="16.5" thickBot="1" x14ac:dyDescent="0.3">
      <c r="A134" s="39" t="s">
        <v>50</v>
      </c>
      <c r="B134" s="27">
        <v>42228</v>
      </c>
      <c r="C134" s="34">
        <v>27827</v>
      </c>
      <c r="D134" s="28">
        <v>14</v>
      </c>
      <c r="E134" s="28">
        <v>0</v>
      </c>
      <c r="F134" s="28">
        <v>9</v>
      </c>
      <c r="G134" s="28">
        <v>0</v>
      </c>
      <c r="H134" s="28">
        <v>0</v>
      </c>
      <c r="I134" s="29">
        <v>1</v>
      </c>
      <c r="J134" s="28" t="s">
        <v>89</v>
      </c>
      <c r="K134" s="55" t="s">
        <v>251</v>
      </c>
      <c r="L134" s="56"/>
      <c r="M134" s="56"/>
      <c r="N134" s="56"/>
      <c r="O134" s="56"/>
      <c r="P134" s="56"/>
      <c r="Q134" s="56"/>
      <c r="R134" s="57"/>
      <c r="S134" s="30">
        <v>42228</v>
      </c>
      <c r="T134" s="28" t="s">
        <v>160</v>
      </c>
    </row>
    <row r="135" spans="1:20" ht="15.75" x14ac:dyDescent="0.25">
      <c r="A135" s="9" t="s">
        <v>53</v>
      </c>
      <c r="B135" s="12">
        <v>42235</v>
      </c>
      <c r="C135" s="5">
        <v>131248</v>
      </c>
      <c r="D135">
        <v>13</v>
      </c>
      <c r="E135">
        <v>0</v>
      </c>
      <c r="F135">
        <v>17</v>
      </c>
      <c r="G135">
        <v>0</v>
      </c>
      <c r="H135">
        <v>0</v>
      </c>
      <c r="I135" s="8">
        <v>1</v>
      </c>
      <c r="J135" t="s">
        <v>157</v>
      </c>
      <c r="K135" s="47" t="s">
        <v>216</v>
      </c>
      <c r="L135" s="48"/>
      <c r="M135" s="48"/>
      <c r="N135" s="48"/>
      <c r="O135" s="48"/>
      <c r="P135" s="48"/>
      <c r="Q135" s="48"/>
      <c r="R135" s="49"/>
      <c r="S135" s="11">
        <v>42235</v>
      </c>
      <c r="T135" t="s">
        <v>160</v>
      </c>
    </row>
    <row r="136" spans="1:20" ht="15.75" x14ac:dyDescent="0.25">
      <c r="A136" s="9" t="s">
        <v>53</v>
      </c>
      <c r="B136" s="12">
        <v>42235</v>
      </c>
      <c r="C136" s="5">
        <v>247990</v>
      </c>
      <c r="D136">
        <v>13</v>
      </c>
      <c r="E136">
        <v>0</v>
      </c>
      <c r="F136">
        <v>17</v>
      </c>
      <c r="G136">
        <v>0</v>
      </c>
      <c r="H136">
        <v>0</v>
      </c>
      <c r="I136" s="8">
        <v>1</v>
      </c>
      <c r="J136" t="s">
        <v>157</v>
      </c>
      <c r="K136" s="47" t="s">
        <v>216</v>
      </c>
      <c r="L136" s="48"/>
      <c r="M136" s="48"/>
      <c r="N136" s="48"/>
      <c r="O136" s="48"/>
      <c r="P136" s="48"/>
      <c r="Q136" s="48"/>
      <c r="R136" s="49"/>
      <c r="S136" s="11">
        <v>42235</v>
      </c>
      <c r="T136" t="s">
        <v>160</v>
      </c>
    </row>
    <row r="137" spans="1:20" ht="15.75" x14ac:dyDescent="0.25">
      <c r="A137" s="9" t="s">
        <v>52</v>
      </c>
      <c r="B137" s="12">
        <v>42235</v>
      </c>
      <c r="C137" s="5">
        <v>61866</v>
      </c>
      <c r="D137">
        <v>13</v>
      </c>
      <c r="E137">
        <v>0</v>
      </c>
      <c r="F137">
        <v>17</v>
      </c>
      <c r="G137">
        <v>0</v>
      </c>
      <c r="H137">
        <v>0</v>
      </c>
      <c r="I137" s="8">
        <v>1</v>
      </c>
      <c r="J137" t="s">
        <v>157</v>
      </c>
      <c r="K137" s="47" t="s">
        <v>252</v>
      </c>
      <c r="L137" s="48"/>
      <c r="M137" s="48"/>
      <c r="N137" s="48"/>
      <c r="O137" s="48"/>
      <c r="P137" s="48"/>
      <c r="Q137" s="48"/>
      <c r="R137" s="49"/>
      <c r="S137" s="11">
        <v>42235</v>
      </c>
      <c r="T137" t="s">
        <v>160</v>
      </c>
    </row>
    <row r="138" spans="1:20" ht="15.75" x14ac:dyDescent="0.25">
      <c r="A138" s="9" t="s">
        <v>52</v>
      </c>
      <c r="B138" s="12">
        <v>42235</v>
      </c>
      <c r="C138" s="5">
        <v>49964</v>
      </c>
      <c r="D138">
        <v>13</v>
      </c>
      <c r="E138">
        <v>0</v>
      </c>
      <c r="F138">
        <v>17</v>
      </c>
      <c r="G138">
        <v>0</v>
      </c>
      <c r="H138">
        <v>0</v>
      </c>
      <c r="I138" s="8">
        <v>1</v>
      </c>
      <c r="J138" t="s">
        <v>157</v>
      </c>
      <c r="K138" s="47" t="s">
        <v>248</v>
      </c>
      <c r="L138" s="48"/>
      <c r="M138" s="48"/>
      <c r="N138" s="48"/>
      <c r="O138" s="48"/>
      <c r="P138" s="48"/>
      <c r="Q138" s="48"/>
      <c r="R138" s="49"/>
      <c r="S138" s="11">
        <v>42235</v>
      </c>
      <c r="T138" t="s">
        <v>160</v>
      </c>
    </row>
    <row r="139" spans="1:20" ht="15.75" x14ac:dyDescent="0.25">
      <c r="A139" s="9" t="s">
        <v>213</v>
      </c>
      <c r="B139" s="12">
        <v>42235</v>
      </c>
      <c r="C139" s="5">
        <v>80267</v>
      </c>
      <c r="D139">
        <v>13</v>
      </c>
      <c r="E139">
        <v>0</v>
      </c>
      <c r="F139">
        <v>17</v>
      </c>
      <c r="G139">
        <v>0</v>
      </c>
      <c r="H139">
        <v>0</v>
      </c>
      <c r="I139" s="8">
        <v>1</v>
      </c>
      <c r="J139" t="s">
        <v>157</v>
      </c>
      <c r="K139" s="47" t="s">
        <v>253</v>
      </c>
      <c r="L139" s="48"/>
      <c r="M139" s="48"/>
      <c r="N139" s="48"/>
      <c r="O139" s="48"/>
      <c r="P139" s="48"/>
      <c r="Q139" s="48"/>
      <c r="R139" s="49"/>
      <c r="S139" s="11">
        <v>42235</v>
      </c>
      <c r="T139" t="s">
        <v>160</v>
      </c>
    </row>
    <row r="140" spans="1:20" ht="15.75" x14ac:dyDescent="0.25">
      <c r="A140" s="9" t="s">
        <v>213</v>
      </c>
      <c r="B140" s="12">
        <v>42235</v>
      </c>
      <c r="C140" s="5">
        <v>24327</v>
      </c>
      <c r="D140">
        <v>13</v>
      </c>
      <c r="E140">
        <v>0</v>
      </c>
      <c r="F140">
        <v>17</v>
      </c>
      <c r="G140">
        <v>0</v>
      </c>
      <c r="H140">
        <v>0</v>
      </c>
      <c r="I140" s="8">
        <v>1</v>
      </c>
      <c r="J140" t="s">
        <v>157</v>
      </c>
      <c r="K140" s="47" t="s">
        <v>253</v>
      </c>
      <c r="L140" s="48"/>
      <c r="M140" s="48"/>
      <c r="N140" s="48"/>
      <c r="O140" s="48"/>
      <c r="P140" s="48"/>
      <c r="Q140" s="48"/>
      <c r="R140" s="49"/>
      <c r="S140" s="11">
        <v>42235</v>
      </c>
      <c r="T140" t="s">
        <v>160</v>
      </c>
    </row>
    <row r="141" spans="1:20" ht="15.75" x14ac:dyDescent="0.25">
      <c r="A141" s="6" t="s">
        <v>50</v>
      </c>
      <c r="B141" s="10">
        <v>42235</v>
      </c>
      <c r="C141" s="5">
        <v>163577</v>
      </c>
      <c r="D141">
        <v>16</v>
      </c>
      <c r="E141">
        <v>1</v>
      </c>
      <c r="F141">
        <v>0</v>
      </c>
      <c r="G141">
        <v>5</v>
      </c>
      <c r="H141">
        <v>1</v>
      </c>
      <c r="I141" s="8">
        <v>0.94117647058823528</v>
      </c>
      <c r="J141" t="s">
        <v>89</v>
      </c>
      <c r="K141" s="50" t="s">
        <v>254</v>
      </c>
      <c r="L141" s="51"/>
      <c r="M141" s="51"/>
      <c r="N141" s="51"/>
      <c r="O141" s="51"/>
      <c r="P141" s="51"/>
      <c r="Q141" s="51"/>
      <c r="R141" s="52"/>
      <c r="S141" s="11">
        <v>42235</v>
      </c>
      <c r="T141" t="s">
        <v>160</v>
      </c>
    </row>
    <row r="142" spans="1:20" ht="15.75" x14ac:dyDescent="0.25">
      <c r="A142" s="6" t="s">
        <v>50</v>
      </c>
      <c r="B142" s="10">
        <v>42244</v>
      </c>
      <c r="C142" s="5">
        <v>110541</v>
      </c>
      <c r="D142">
        <v>19</v>
      </c>
      <c r="E142">
        <v>1</v>
      </c>
      <c r="F142">
        <v>0</v>
      </c>
      <c r="G142">
        <v>0</v>
      </c>
      <c r="H142">
        <v>1</v>
      </c>
      <c r="I142" s="8">
        <v>0.95</v>
      </c>
      <c r="J142" t="s">
        <v>89</v>
      </c>
      <c r="K142" s="50" t="s">
        <v>255</v>
      </c>
      <c r="L142" s="51"/>
      <c r="M142" s="51"/>
      <c r="N142" s="51"/>
      <c r="O142" s="51"/>
      <c r="P142" s="51"/>
      <c r="Q142" s="51"/>
      <c r="R142" s="52"/>
      <c r="S142" s="11">
        <v>42244</v>
      </c>
      <c r="T142" t="s">
        <v>160</v>
      </c>
    </row>
    <row r="143" spans="1:20" ht="15.75" x14ac:dyDescent="0.25">
      <c r="A143" s="6" t="s">
        <v>50</v>
      </c>
      <c r="B143" s="10">
        <v>42244</v>
      </c>
      <c r="C143" s="5">
        <v>180226</v>
      </c>
      <c r="D143">
        <v>22</v>
      </c>
      <c r="E143">
        <v>0</v>
      </c>
      <c r="F143">
        <v>0</v>
      </c>
      <c r="G143">
        <v>2</v>
      </c>
      <c r="H143">
        <v>0</v>
      </c>
      <c r="I143" s="8">
        <v>1</v>
      </c>
      <c r="J143" t="s">
        <v>89</v>
      </c>
      <c r="K143" s="50" t="s">
        <v>256</v>
      </c>
      <c r="L143" s="51"/>
      <c r="M143" s="51"/>
      <c r="N143" s="51"/>
      <c r="O143" s="51"/>
      <c r="P143" s="51"/>
      <c r="Q143" s="51"/>
      <c r="R143" s="52"/>
      <c r="S143" s="11">
        <v>42244</v>
      </c>
      <c r="T143" t="s">
        <v>160</v>
      </c>
    </row>
    <row r="144" spans="1:20" ht="15.75" x14ac:dyDescent="0.25">
      <c r="A144" s="9" t="s">
        <v>53</v>
      </c>
      <c r="B144" s="12">
        <v>42244</v>
      </c>
      <c r="C144" s="5">
        <v>5388</v>
      </c>
      <c r="D144">
        <v>13</v>
      </c>
      <c r="E144">
        <v>0</v>
      </c>
      <c r="F144">
        <v>17</v>
      </c>
      <c r="G144">
        <v>0</v>
      </c>
      <c r="H144">
        <v>0</v>
      </c>
      <c r="I144" s="8">
        <v>1</v>
      </c>
      <c r="J144" t="s">
        <v>157</v>
      </c>
      <c r="K144" s="47" t="s">
        <v>252</v>
      </c>
      <c r="L144" s="48"/>
      <c r="M144" s="48"/>
      <c r="N144" s="48"/>
      <c r="O144" s="48"/>
      <c r="P144" s="48"/>
      <c r="Q144" s="48"/>
      <c r="R144" s="49"/>
      <c r="S144" s="11">
        <v>42244</v>
      </c>
      <c r="T144" t="s">
        <v>160</v>
      </c>
    </row>
    <row r="145" spans="1:20" ht="15.75" x14ac:dyDescent="0.25">
      <c r="A145" s="9" t="s">
        <v>53</v>
      </c>
      <c r="B145" s="12">
        <v>42244</v>
      </c>
      <c r="C145" s="5">
        <v>43303</v>
      </c>
      <c r="D145">
        <v>13</v>
      </c>
      <c r="E145">
        <v>0</v>
      </c>
      <c r="F145">
        <v>17</v>
      </c>
      <c r="G145">
        <v>0</v>
      </c>
      <c r="H145">
        <v>0</v>
      </c>
      <c r="I145" s="8">
        <v>1</v>
      </c>
      <c r="J145" t="s">
        <v>157</v>
      </c>
      <c r="K145" s="47" t="s">
        <v>252</v>
      </c>
      <c r="L145" s="48"/>
      <c r="M145" s="48"/>
      <c r="N145" s="48"/>
      <c r="O145" s="48"/>
      <c r="P145" s="48"/>
      <c r="Q145" s="48"/>
      <c r="R145" s="49"/>
      <c r="S145" s="11">
        <v>42244</v>
      </c>
      <c r="T145" t="s">
        <v>160</v>
      </c>
    </row>
    <row r="146" spans="1:20" ht="15.75" x14ac:dyDescent="0.25">
      <c r="A146" s="9" t="s">
        <v>213</v>
      </c>
      <c r="B146" s="12">
        <v>42244</v>
      </c>
      <c r="C146" s="5">
        <v>7342</v>
      </c>
      <c r="D146">
        <v>13</v>
      </c>
      <c r="E146">
        <v>0</v>
      </c>
      <c r="F146">
        <v>17</v>
      </c>
      <c r="G146">
        <v>0</v>
      </c>
      <c r="H146">
        <v>0</v>
      </c>
      <c r="I146" s="8">
        <v>1</v>
      </c>
      <c r="J146" t="s">
        <v>157</v>
      </c>
      <c r="K146" s="47" t="s">
        <v>252</v>
      </c>
      <c r="L146" s="48"/>
      <c r="M146" s="48"/>
      <c r="N146" s="48"/>
      <c r="O146" s="48"/>
      <c r="P146" s="48"/>
      <c r="Q146" s="48"/>
      <c r="R146" s="49"/>
      <c r="S146" s="11">
        <v>42244</v>
      </c>
      <c r="T146" t="s">
        <v>160</v>
      </c>
    </row>
    <row r="147" spans="1:20" ht="15.75" x14ac:dyDescent="0.25">
      <c r="A147" s="9" t="s">
        <v>213</v>
      </c>
      <c r="B147" s="12">
        <v>42244</v>
      </c>
      <c r="C147" s="5">
        <v>1814</v>
      </c>
      <c r="D147">
        <v>13</v>
      </c>
      <c r="E147">
        <v>0</v>
      </c>
      <c r="F147">
        <v>17</v>
      </c>
      <c r="G147">
        <v>0</v>
      </c>
      <c r="H147">
        <v>0</v>
      </c>
      <c r="I147" s="8">
        <v>1</v>
      </c>
      <c r="J147" t="s">
        <v>157</v>
      </c>
      <c r="K147" s="47" t="s">
        <v>252</v>
      </c>
      <c r="L147" s="48"/>
      <c r="M147" s="48"/>
      <c r="N147" s="48"/>
      <c r="O147" s="48"/>
      <c r="P147" s="48"/>
      <c r="Q147" s="48"/>
      <c r="R147" s="49"/>
      <c r="S147" s="11">
        <v>42244</v>
      </c>
      <c r="T147" t="s">
        <v>160</v>
      </c>
    </row>
    <row r="148" spans="1:20" ht="15.75" x14ac:dyDescent="0.25">
      <c r="A148" s="9" t="s">
        <v>52</v>
      </c>
      <c r="B148" s="12">
        <v>42244</v>
      </c>
      <c r="C148" s="5">
        <v>19302</v>
      </c>
      <c r="D148">
        <v>13</v>
      </c>
      <c r="E148">
        <v>0</v>
      </c>
      <c r="F148">
        <v>17</v>
      </c>
      <c r="G148">
        <v>0</v>
      </c>
      <c r="H148">
        <v>0</v>
      </c>
      <c r="I148" s="8">
        <v>1</v>
      </c>
      <c r="J148" t="s">
        <v>157</v>
      </c>
      <c r="K148" s="47" t="s">
        <v>252</v>
      </c>
      <c r="L148" s="48"/>
      <c r="M148" s="48"/>
      <c r="N148" s="48"/>
      <c r="O148" s="48"/>
      <c r="P148" s="48"/>
      <c r="Q148" s="48"/>
      <c r="R148" s="49"/>
      <c r="S148" s="11">
        <v>42244</v>
      </c>
      <c r="T148" t="s">
        <v>160</v>
      </c>
    </row>
    <row r="149" spans="1:20" s="28" customFormat="1" ht="16.5" thickBot="1" x14ac:dyDescent="0.3">
      <c r="A149" s="40" t="s">
        <v>52</v>
      </c>
      <c r="B149" s="33">
        <v>42244</v>
      </c>
      <c r="C149" s="34">
        <v>2842</v>
      </c>
      <c r="D149" s="28">
        <v>13</v>
      </c>
      <c r="E149" s="28">
        <v>0</v>
      </c>
      <c r="F149" s="28">
        <v>17</v>
      </c>
      <c r="G149" s="28">
        <v>0</v>
      </c>
      <c r="H149" s="28">
        <v>0</v>
      </c>
      <c r="I149" s="29">
        <v>1</v>
      </c>
      <c r="J149" s="28" t="s">
        <v>157</v>
      </c>
      <c r="K149" s="80" t="s">
        <v>252</v>
      </c>
      <c r="L149" s="81"/>
      <c r="M149" s="81"/>
      <c r="N149" s="81"/>
      <c r="O149" s="81"/>
      <c r="P149" s="81"/>
      <c r="Q149" s="81"/>
      <c r="R149" s="82"/>
      <c r="S149" s="30">
        <v>42244</v>
      </c>
      <c r="T149" s="28" t="s">
        <v>160</v>
      </c>
    </row>
    <row r="150" spans="1:20" ht="15.75" x14ac:dyDescent="0.25">
      <c r="A150" s="9" t="s">
        <v>257</v>
      </c>
      <c r="B150" s="12">
        <v>42249</v>
      </c>
      <c r="C150" s="5">
        <v>86348</v>
      </c>
      <c r="D150">
        <v>13</v>
      </c>
      <c r="E150">
        <v>0</v>
      </c>
      <c r="F150">
        <v>17</v>
      </c>
      <c r="G150">
        <v>0</v>
      </c>
      <c r="H150">
        <v>0</v>
      </c>
      <c r="I150" s="8">
        <v>1</v>
      </c>
      <c r="J150" t="s">
        <v>157</v>
      </c>
      <c r="K150" s="47" t="s">
        <v>258</v>
      </c>
      <c r="L150" s="48"/>
      <c r="M150" s="48"/>
      <c r="N150" s="48"/>
      <c r="O150" s="48"/>
      <c r="P150" s="48"/>
      <c r="Q150" s="48"/>
      <c r="R150" s="49"/>
      <c r="S150" s="11">
        <v>42250</v>
      </c>
      <c r="T150" t="s">
        <v>230</v>
      </c>
    </row>
    <row r="151" spans="1:20" ht="15.75" x14ac:dyDescent="0.25">
      <c r="A151" s="9" t="s">
        <v>257</v>
      </c>
      <c r="B151" s="12">
        <v>42249</v>
      </c>
      <c r="C151" s="5">
        <v>43537</v>
      </c>
      <c r="D151">
        <v>13</v>
      </c>
      <c r="E151">
        <v>0</v>
      </c>
      <c r="F151">
        <v>17</v>
      </c>
      <c r="G151">
        <v>0</v>
      </c>
      <c r="H151">
        <v>0</v>
      </c>
      <c r="I151" s="8">
        <v>1</v>
      </c>
      <c r="J151" t="s">
        <v>157</v>
      </c>
      <c r="K151" s="47" t="s">
        <v>259</v>
      </c>
      <c r="L151" s="48"/>
      <c r="M151" s="48"/>
      <c r="N151" s="48"/>
      <c r="O151" s="48"/>
      <c r="P151" s="48"/>
      <c r="Q151" s="48"/>
      <c r="R151" s="49"/>
      <c r="S151" s="11">
        <v>42250</v>
      </c>
      <c r="T151" t="s">
        <v>230</v>
      </c>
    </row>
    <row r="152" spans="1:20" ht="15.75" x14ac:dyDescent="0.25">
      <c r="A152" s="9" t="s">
        <v>52</v>
      </c>
      <c r="B152" s="12">
        <v>42250</v>
      </c>
      <c r="C152" s="41" t="s">
        <v>260</v>
      </c>
      <c r="D152">
        <v>13</v>
      </c>
      <c r="E152">
        <v>0</v>
      </c>
      <c r="F152">
        <v>17</v>
      </c>
      <c r="G152">
        <v>0</v>
      </c>
      <c r="H152">
        <v>0</v>
      </c>
      <c r="I152" s="8">
        <v>1</v>
      </c>
      <c r="J152" t="s">
        <v>157</v>
      </c>
      <c r="K152" s="47" t="s">
        <v>261</v>
      </c>
      <c r="L152" s="48"/>
      <c r="M152" s="48"/>
      <c r="N152" s="48"/>
      <c r="O152" s="48"/>
      <c r="P152" s="48"/>
      <c r="Q152" s="48"/>
      <c r="R152" s="49"/>
      <c r="S152" s="11">
        <v>42250</v>
      </c>
      <c r="T152" t="s">
        <v>230</v>
      </c>
    </row>
    <row r="153" spans="1:20" ht="15.75" x14ac:dyDescent="0.25">
      <c r="A153" s="9" t="s">
        <v>52</v>
      </c>
      <c r="B153" s="12">
        <v>42250</v>
      </c>
      <c r="C153" s="41" t="s">
        <v>262</v>
      </c>
      <c r="D153">
        <v>13</v>
      </c>
      <c r="E153">
        <v>0</v>
      </c>
      <c r="F153">
        <v>17</v>
      </c>
      <c r="G153">
        <v>0</v>
      </c>
      <c r="H153">
        <v>0</v>
      </c>
      <c r="I153" s="8">
        <v>1</v>
      </c>
      <c r="J153" t="s">
        <v>157</v>
      </c>
      <c r="K153" s="47" t="s">
        <v>263</v>
      </c>
      <c r="L153" s="48"/>
      <c r="M153" s="48"/>
      <c r="N153" s="48"/>
      <c r="O153" s="48"/>
      <c r="P153" s="48"/>
      <c r="Q153" s="48"/>
      <c r="R153" s="49"/>
      <c r="S153" s="11">
        <v>42250</v>
      </c>
      <c r="T153" t="s">
        <v>230</v>
      </c>
    </row>
    <row r="154" spans="1:20" ht="15.75" x14ac:dyDescent="0.25">
      <c r="A154" s="9" t="s">
        <v>53</v>
      </c>
      <c r="B154" s="12">
        <v>42250</v>
      </c>
      <c r="C154" s="41" t="s">
        <v>264</v>
      </c>
      <c r="D154">
        <v>13</v>
      </c>
      <c r="E154">
        <v>0</v>
      </c>
      <c r="F154">
        <v>17</v>
      </c>
      <c r="G154">
        <v>0</v>
      </c>
      <c r="H154">
        <v>0</v>
      </c>
      <c r="I154" s="8">
        <v>1</v>
      </c>
      <c r="J154" t="s">
        <v>157</v>
      </c>
      <c r="K154" s="47" t="s">
        <v>265</v>
      </c>
      <c r="L154" s="48"/>
      <c r="M154" s="48"/>
      <c r="N154" s="48"/>
      <c r="O154" s="48"/>
      <c r="P154" s="48"/>
      <c r="Q154" s="48"/>
      <c r="R154" s="49"/>
      <c r="S154" s="11">
        <v>42250</v>
      </c>
      <c r="T154" t="s">
        <v>230</v>
      </c>
    </row>
    <row r="155" spans="1:20" ht="15.75" x14ac:dyDescent="0.25">
      <c r="A155" s="9" t="s">
        <v>53</v>
      </c>
      <c r="B155" s="12">
        <v>42250</v>
      </c>
      <c r="C155" s="41" t="s">
        <v>266</v>
      </c>
      <c r="D155">
        <v>13</v>
      </c>
      <c r="E155">
        <v>0</v>
      </c>
      <c r="F155">
        <v>17</v>
      </c>
      <c r="G155">
        <v>0</v>
      </c>
      <c r="H155">
        <v>0</v>
      </c>
      <c r="I155" s="8">
        <v>1</v>
      </c>
      <c r="J155" t="s">
        <v>157</v>
      </c>
      <c r="K155" s="47" t="s">
        <v>267</v>
      </c>
      <c r="L155" s="48"/>
      <c r="M155" s="48"/>
      <c r="N155" s="48"/>
      <c r="O155" s="48"/>
      <c r="P155" s="48"/>
      <c r="Q155" s="48"/>
      <c r="R155" s="49"/>
      <c r="S155" s="11">
        <v>42250</v>
      </c>
      <c r="T155" t="s">
        <v>230</v>
      </c>
    </row>
    <row r="156" spans="1:20" ht="15.75" x14ac:dyDescent="0.25">
      <c r="A156" s="9" t="s">
        <v>225</v>
      </c>
      <c r="B156" s="12">
        <v>42250</v>
      </c>
      <c r="C156" s="41" t="s">
        <v>266</v>
      </c>
      <c r="D156">
        <v>13</v>
      </c>
      <c r="E156">
        <v>0</v>
      </c>
      <c r="F156">
        <v>17</v>
      </c>
      <c r="G156">
        <v>0</v>
      </c>
      <c r="H156">
        <v>0</v>
      </c>
      <c r="I156" s="8">
        <v>1</v>
      </c>
      <c r="J156" t="s">
        <v>157</v>
      </c>
      <c r="K156" s="47" t="s">
        <v>268</v>
      </c>
      <c r="L156" s="48"/>
      <c r="M156" s="48"/>
      <c r="N156" s="48"/>
      <c r="O156" s="48"/>
      <c r="P156" s="48"/>
      <c r="Q156" s="48"/>
      <c r="R156" s="49"/>
      <c r="S156" s="11">
        <v>42250</v>
      </c>
      <c r="T156" t="s">
        <v>230</v>
      </c>
    </row>
    <row r="157" spans="1:20" ht="15.75" x14ac:dyDescent="0.25">
      <c r="A157" s="9" t="s">
        <v>225</v>
      </c>
      <c r="B157" s="12">
        <v>42250</v>
      </c>
      <c r="C157" s="41">
        <v>7701</v>
      </c>
      <c r="D157">
        <v>13</v>
      </c>
      <c r="E157">
        <v>0</v>
      </c>
      <c r="F157">
        <v>17</v>
      </c>
      <c r="G157">
        <v>0</v>
      </c>
      <c r="H157">
        <v>0</v>
      </c>
      <c r="I157" s="8">
        <v>1</v>
      </c>
      <c r="J157" t="s">
        <v>157</v>
      </c>
      <c r="K157" s="47" t="s">
        <v>269</v>
      </c>
      <c r="L157" s="48"/>
      <c r="M157" s="48"/>
      <c r="N157" s="48"/>
      <c r="O157" s="48"/>
      <c r="P157" s="48"/>
      <c r="Q157" s="48"/>
      <c r="R157" s="49"/>
      <c r="S157" s="11">
        <v>42250</v>
      </c>
      <c r="T157" t="s">
        <v>230</v>
      </c>
    </row>
    <row r="158" spans="1:20" ht="15.75" x14ac:dyDescent="0.25">
      <c r="A158" s="6" t="s">
        <v>270</v>
      </c>
      <c r="B158" s="10">
        <v>42219</v>
      </c>
      <c r="C158" s="5">
        <v>2954</v>
      </c>
      <c r="D158">
        <v>22</v>
      </c>
      <c r="E158">
        <v>0</v>
      </c>
      <c r="F158">
        <v>0</v>
      </c>
      <c r="G158">
        <v>0</v>
      </c>
      <c r="H158">
        <v>0</v>
      </c>
      <c r="I158" s="8">
        <v>1</v>
      </c>
      <c r="J158" t="s">
        <v>89</v>
      </c>
      <c r="K158" s="50" t="s">
        <v>271</v>
      </c>
      <c r="L158" s="51"/>
      <c r="M158" s="51"/>
      <c r="N158" s="51"/>
      <c r="O158" s="51"/>
      <c r="P158" s="51"/>
      <c r="Q158" s="51"/>
      <c r="R158" s="52"/>
      <c r="S158" s="11">
        <v>42250</v>
      </c>
      <c r="T158" t="s">
        <v>230</v>
      </c>
    </row>
    <row r="159" spans="1:20" s="28" customFormat="1" ht="16.5" thickBot="1" x14ac:dyDescent="0.3">
      <c r="A159" s="39" t="s">
        <v>270</v>
      </c>
      <c r="B159" s="27">
        <v>42219</v>
      </c>
      <c r="C159" s="34">
        <v>180226</v>
      </c>
      <c r="D159" s="28">
        <v>22</v>
      </c>
      <c r="E159" s="28">
        <v>0</v>
      </c>
      <c r="F159" s="28">
        <v>0</v>
      </c>
      <c r="G159" s="28">
        <v>0</v>
      </c>
      <c r="H159" s="28">
        <v>0</v>
      </c>
      <c r="I159" s="29">
        <v>1</v>
      </c>
      <c r="J159" s="28" t="s">
        <v>89</v>
      </c>
      <c r="K159" s="55" t="s">
        <v>272</v>
      </c>
      <c r="L159" s="56"/>
      <c r="M159" s="56"/>
      <c r="N159" s="56"/>
      <c r="O159" s="56"/>
      <c r="P159" s="56"/>
      <c r="Q159" s="56"/>
      <c r="R159" s="57"/>
      <c r="S159" s="30">
        <v>42250</v>
      </c>
      <c r="T159" s="28" t="s">
        <v>230</v>
      </c>
    </row>
    <row r="160" spans="1:20" ht="15.75" x14ac:dyDescent="0.25">
      <c r="A160" s="36" t="s">
        <v>165</v>
      </c>
      <c r="B160" s="37">
        <v>42258</v>
      </c>
      <c r="C160" s="43">
        <v>69818</v>
      </c>
      <c r="D160">
        <v>13</v>
      </c>
      <c r="E160">
        <v>0</v>
      </c>
      <c r="F160">
        <v>17</v>
      </c>
      <c r="G160">
        <v>0</v>
      </c>
      <c r="H160">
        <v>0</v>
      </c>
      <c r="I160" s="8">
        <v>1</v>
      </c>
      <c r="J160" t="s">
        <v>157</v>
      </c>
      <c r="K160" s="77" t="s">
        <v>231</v>
      </c>
      <c r="L160" s="78"/>
      <c r="M160" s="78"/>
      <c r="N160" s="78"/>
      <c r="O160" s="78"/>
      <c r="P160" s="78"/>
      <c r="Q160" s="78"/>
      <c r="R160" s="79"/>
      <c r="S160" s="11">
        <v>42258</v>
      </c>
      <c r="T160" t="s">
        <v>160</v>
      </c>
    </row>
    <row r="161" spans="1:20" ht="15.75" x14ac:dyDescent="0.25">
      <c r="A161" s="9" t="s">
        <v>225</v>
      </c>
      <c r="B161" s="12">
        <v>42258</v>
      </c>
      <c r="C161" s="42">
        <v>49398</v>
      </c>
      <c r="D161">
        <v>13</v>
      </c>
      <c r="E161">
        <v>0</v>
      </c>
      <c r="F161">
        <v>17</v>
      </c>
      <c r="G161">
        <v>0</v>
      </c>
      <c r="H161">
        <v>0</v>
      </c>
      <c r="I161" s="8">
        <v>1</v>
      </c>
      <c r="J161" t="s">
        <v>157</v>
      </c>
      <c r="K161" s="47" t="s">
        <v>231</v>
      </c>
      <c r="L161" s="48"/>
      <c r="M161" s="48"/>
      <c r="N161" s="48"/>
      <c r="O161" s="48"/>
      <c r="P161" s="48"/>
      <c r="Q161" s="48"/>
      <c r="R161" s="49"/>
      <c r="S161" s="11">
        <v>42258</v>
      </c>
      <c r="T161" t="s">
        <v>160</v>
      </c>
    </row>
    <row r="162" spans="1:20" ht="15.75" x14ac:dyDescent="0.25">
      <c r="A162" s="9" t="s">
        <v>225</v>
      </c>
      <c r="B162" s="12">
        <v>42258</v>
      </c>
      <c r="C162" s="42">
        <v>7338</v>
      </c>
      <c r="D162">
        <v>13</v>
      </c>
      <c r="E162">
        <v>0</v>
      </c>
      <c r="F162">
        <v>17</v>
      </c>
      <c r="G162">
        <v>0</v>
      </c>
      <c r="H162">
        <v>0</v>
      </c>
      <c r="I162" s="8">
        <v>1</v>
      </c>
      <c r="J162" t="s">
        <v>157</v>
      </c>
      <c r="K162" s="47" t="s">
        <v>231</v>
      </c>
      <c r="L162" s="48"/>
      <c r="M162" s="48"/>
      <c r="N162" s="48"/>
      <c r="O162" s="48"/>
      <c r="P162" s="48"/>
      <c r="Q162" s="48"/>
      <c r="R162" s="49"/>
      <c r="S162" s="11">
        <v>42258</v>
      </c>
      <c r="T162" t="s">
        <v>160</v>
      </c>
    </row>
    <row r="163" spans="1:20" ht="15.75" x14ac:dyDescent="0.25">
      <c r="A163" s="9" t="s">
        <v>52</v>
      </c>
      <c r="B163" s="12">
        <v>42258</v>
      </c>
      <c r="C163" s="42">
        <v>167528</v>
      </c>
      <c r="D163">
        <v>13</v>
      </c>
      <c r="E163">
        <v>0</v>
      </c>
      <c r="F163">
        <v>17</v>
      </c>
      <c r="G163">
        <v>0</v>
      </c>
      <c r="H163">
        <v>0</v>
      </c>
      <c r="I163" s="8">
        <v>1</v>
      </c>
      <c r="J163" t="s">
        <v>157</v>
      </c>
      <c r="K163" s="47" t="s">
        <v>231</v>
      </c>
      <c r="L163" s="48"/>
      <c r="M163" s="48"/>
      <c r="N163" s="48"/>
      <c r="O163" s="48"/>
      <c r="P163" s="48"/>
      <c r="Q163" s="48"/>
      <c r="R163" s="49"/>
      <c r="S163" s="11">
        <v>42258</v>
      </c>
      <c r="T163" t="s">
        <v>160</v>
      </c>
    </row>
    <row r="164" spans="1:20" ht="15.75" x14ac:dyDescent="0.25">
      <c r="A164" s="9" t="s">
        <v>52</v>
      </c>
      <c r="B164" s="12">
        <v>42258</v>
      </c>
      <c r="C164" s="42">
        <v>69348</v>
      </c>
      <c r="D164">
        <v>13</v>
      </c>
      <c r="E164">
        <v>0</v>
      </c>
      <c r="F164">
        <v>17</v>
      </c>
      <c r="G164">
        <v>0</v>
      </c>
      <c r="H164">
        <v>0</v>
      </c>
      <c r="I164" s="8">
        <v>1</v>
      </c>
      <c r="J164" t="s">
        <v>157</v>
      </c>
      <c r="K164" s="47" t="s">
        <v>231</v>
      </c>
      <c r="L164" s="48"/>
      <c r="M164" s="48"/>
      <c r="N164" s="48"/>
      <c r="O164" s="48"/>
      <c r="P164" s="48"/>
      <c r="Q164" s="48"/>
      <c r="R164" s="49"/>
      <c r="S164" s="11">
        <v>42258</v>
      </c>
      <c r="T164" t="s">
        <v>160</v>
      </c>
    </row>
    <row r="165" spans="1:20" ht="15.75" x14ac:dyDescent="0.25">
      <c r="A165" s="9" t="s">
        <v>53</v>
      </c>
      <c r="B165" s="12">
        <v>42258</v>
      </c>
      <c r="C165" s="42">
        <v>34470</v>
      </c>
      <c r="D165">
        <v>13</v>
      </c>
      <c r="E165">
        <v>0</v>
      </c>
      <c r="F165">
        <v>17</v>
      </c>
      <c r="G165">
        <v>0</v>
      </c>
      <c r="H165">
        <v>0</v>
      </c>
      <c r="I165" s="8">
        <v>1</v>
      </c>
      <c r="J165" t="s">
        <v>157</v>
      </c>
      <c r="K165" s="47" t="s">
        <v>231</v>
      </c>
      <c r="L165" s="48"/>
      <c r="M165" s="48"/>
      <c r="N165" s="48"/>
      <c r="O165" s="48"/>
      <c r="P165" s="48"/>
      <c r="Q165" s="48"/>
      <c r="R165" s="49"/>
      <c r="S165" s="11">
        <v>42258</v>
      </c>
      <c r="T165" t="s">
        <v>160</v>
      </c>
    </row>
    <row r="166" spans="1:20" ht="15.75" x14ac:dyDescent="0.25">
      <c r="A166" s="9" t="s">
        <v>53</v>
      </c>
      <c r="B166" s="12">
        <v>42258</v>
      </c>
      <c r="C166" s="42">
        <v>55879</v>
      </c>
      <c r="D166">
        <v>13</v>
      </c>
      <c r="E166">
        <v>0</v>
      </c>
      <c r="F166">
        <v>17</v>
      </c>
      <c r="G166">
        <v>0</v>
      </c>
      <c r="H166">
        <v>0</v>
      </c>
      <c r="I166" s="8">
        <v>1</v>
      </c>
      <c r="J166" t="s">
        <v>157</v>
      </c>
      <c r="K166" s="47" t="s">
        <v>231</v>
      </c>
      <c r="L166" s="48"/>
      <c r="M166" s="48"/>
      <c r="N166" s="48"/>
      <c r="O166" s="48"/>
      <c r="P166" s="48"/>
      <c r="Q166" s="48"/>
      <c r="R166" s="49"/>
      <c r="S166" s="11">
        <v>42258</v>
      </c>
      <c r="T166" t="s">
        <v>160</v>
      </c>
    </row>
    <row r="167" spans="1:20" ht="15.75" x14ac:dyDescent="0.25">
      <c r="A167" s="9" t="s">
        <v>165</v>
      </c>
      <c r="B167" s="12">
        <v>42258</v>
      </c>
      <c r="C167" s="42">
        <v>13973</v>
      </c>
      <c r="D167">
        <v>13</v>
      </c>
      <c r="E167">
        <v>0</v>
      </c>
      <c r="F167">
        <v>17</v>
      </c>
      <c r="G167">
        <v>0</v>
      </c>
      <c r="H167">
        <v>0</v>
      </c>
      <c r="I167" s="8">
        <v>1</v>
      </c>
      <c r="J167" t="s">
        <v>157</v>
      </c>
      <c r="K167" s="47" t="s">
        <v>231</v>
      </c>
      <c r="L167" s="48"/>
      <c r="M167" s="48"/>
      <c r="N167" s="48"/>
      <c r="O167" s="48"/>
      <c r="P167" s="48"/>
      <c r="Q167" s="48"/>
      <c r="R167" s="49"/>
      <c r="S167" s="11">
        <v>42258</v>
      </c>
      <c r="T167" t="s">
        <v>160</v>
      </c>
    </row>
    <row r="168" spans="1:20" ht="15.75" x14ac:dyDescent="0.25">
      <c r="A168" s="6" t="s">
        <v>50</v>
      </c>
      <c r="B168" s="10">
        <v>42258</v>
      </c>
      <c r="C168" s="5">
        <v>148658</v>
      </c>
      <c r="D168">
        <v>18</v>
      </c>
      <c r="E168">
        <v>0</v>
      </c>
      <c r="F168">
        <v>0</v>
      </c>
      <c r="G168">
        <v>0</v>
      </c>
      <c r="H168">
        <v>0</v>
      </c>
      <c r="I168" s="8">
        <v>1</v>
      </c>
      <c r="J168" t="s">
        <v>89</v>
      </c>
      <c r="K168" s="50" t="s">
        <v>242</v>
      </c>
      <c r="L168" s="51"/>
      <c r="M168" s="51"/>
      <c r="N168" s="51"/>
      <c r="O168" s="51"/>
      <c r="P168" s="51"/>
      <c r="Q168" s="51"/>
      <c r="R168" s="52"/>
      <c r="S168" s="11">
        <v>42258</v>
      </c>
      <c r="T168" t="s">
        <v>160</v>
      </c>
    </row>
    <row r="169" spans="1:20" s="28" customFormat="1" ht="16.5" thickBot="1" x14ac:dyDescent="0.3">
      <c r="A169" s="39" t="s">
        <v>50</v>
      </c>
      <c r="B169" s="27">
        <v>42258</v>
      </c>
      <c r="C169" s="34">
        <v>151320</v>
      </c>
      <c r="D169" s="28">
        <v>18</v>
      </c>
      <c r="E169" s="28">
        <v>0</v>
      </c>
      <c r="F169" s="28">
        <v>0</v>
      </c>
      <c r="G169" s="28">
        <v>0</v>
      </c>
      <c r="H169" s="28">
        <v>0</v>
      </c>
      <c r="I169" s="29">
        <v>1</v>
      </c>
      <c r="J169" s="28" t="s">
        <v>89</v>
      </c>
      <c r="K169" s="55" t="s">
        <v>242</v>
      </c>
      <c r="L169" s="56"/>
      <c r="M169" s="56"/>
      <c r="N169" s="56"/>
      <c r="O169" s="56"/>
      <c r="P169" s="56"/>
      <c r="Q169" s="56"/>
      <c r="R169" s="57"/>
      <c r="S169" s="30">
        <v>42258</v>
      </c>
      <c r="T169" s="28" t="s">
        <v>160</v>
      </c>
    </row>
    <row r="170" spans="1:20" ht="15.75" x14ac:dyDescent="0.25">
      <c r="A170" s="9" t="s">
        <v>53</v>
      </c>
      <c r="B170" s="12">
        <v>42263</v>
      </c>
      <c r="C170" s="42">
        <v>3705</v>
      </c>
      <c r="D170">
        <v>13</v>
      </c>
      <c r="E170">
        <v>0</v>
      </c>
      <c r="F170">
        <v>17</v>
      </c>
      <c r="G170">
        <v>0</v>
      </c>
      <c r="H170">
        <v>0</v>
      </c>
      <c r="I170" s="8">
        <v>1</v>
      </c>
      <c r="J170" t="s">
        <v>157</v>
      </c>
      <c r="K170" s="47" t="s">
        <v>256</v>
      </c>
      <c r="L170" s="48"/>
      <c r="M170" s="48"/>
      <c r="N170" s="48"/>
      <c r="O170" s="48"/>
      <c r="P170" s="48"/>
      <c r="Q170" s="48"/>
      <c r="R170" s="49"/>
      <c r="S170" s="11">
        <v>42263</v>
      </c>
      <c r="T170" t="s">
        <v>160</v>
      </c>
    </row>
    <row r="171" spans="1:20" ht="15.75" x14ac:dyDescent="0.25">
      <c r="A171" s="9" t="s">
        <v>53</v>
      </c>
      <c r="B171" s="12">
        <v>42263</v>
      </c>
      <c r="C171" s="42">
        <v>49179</v>
      </c>
      <c r="D171">
        <v>13</v>
      </c>
      <c r="E171">
        <v>0</v>
      </c>
      <c r="F171">
        <v>17</v>
      </c>
      <c r="G171">
        <v>0</v>
      </c>
      <c r="H171">
        <v>0</v>
      </c>
      <c r="I171" s="8">
        <v>1</v>
      </c>
      <c r="J171" t="s">
        <v>157</v>
      </c>
      <c r="K171" s="47" t="s">
        <v>231</v>
      </c>
      <c r="L171" s="48"/>
      <c r="M171" s="48"/>
      <c r="N171" s="48"/>
      <c r="O171" s="48"/>
      <c r="P171" s="48"/>
      <c r="Q171" s="48"/>
      <c r="R171" s="49"/>
      <c r="S171" s="11">
        <v>42263</v>
      </c>
      <c r="T171" t="s">
        <v>160</v>
      </c>
    </row>
    <row r="172" spans="1:20" ht="15.75" x14ac:dyDescent="0.25">
      <c r="A172" s="9" t="s">
        <v>273</v>
      </c>
      <c r="B172" s="12">
        <v>42263</v>
      </c>
      <c r="C172" s="42">
        <v>10004</v>
      </c>
      <c r="D172">
        <v>13</v>
      </c>
      <c r="E172">
        <v>0</v>
      </c>
      <c r="F172">
        <v>17</v>
      </c>
      <c r="G172">
        <v>0</v>
      </c>
      <c r="H172">
        <v>0</v>
      </c>
      <c r="I172" s="8">
        <v>1</v>
      </c>
      <c r="J172" t="s">
        <v>157</v>
      </c>
      <c r="K172" s="47" t="s">
        <v>231</v>
      </c>
      <c r="L172" s="48"/>
      <c r="M172" s="48"/>
      <c r="N172" s="48"/>
      <c r="O172" s="48"/>
      <c r="P172" s="48"/>
      <c r="Q172" s="48"/>
      <c r="R172" s="49"/>
      <c r="S172" s="11">
        <v>42263</v>
      </c>
      <c r="T172" t="s">
        <v>160</v>
      </c>
    </row>
    <row r="173" spans="1:20" ht="15.75" x14ac:dyDescent="0.25">
      <c r="A173" s="9" t="s">
        <v>273</v>
      </c>
      <c r="B173" s="12">
        <v>42263</v>
      </c>
      <c r="C173" s="42">
        <v>120111</v>
      </c>
      <c r="D173">
        <v>13</v>
      </c>
      <c r="E173">
        <v>0</v>
      </c>
      <c r="F173">
        <v>17</v>
      </c>
      <c r="G173">
        <v>0</v>
      </c>
      <c r="H173">
        <v>0</v>
      </c>
      <c r="I173" s="8">
        <v>1</v>
      </c>
      <c r="J173" t="s">
        <v>157</v>
      </c>
      <c r="K173" s="47" t="s">
        <v>231</v>
      </c>
      <c r="L173" s="48"/>
      <c r="M173" s="48"/>
      <c r="N173" s="48"/>
      <c r="O173" s="48"/>
      <c r="P173" s="48"/>
      <c r="Q173" s="48"/>
      <c r="R173" s="49"/>
      <c r="S173" s="11">
        <v>42263</v>
      </c>
      <c r="T173" t="s">
        <v>160</v>
      </c>
    </row>
    <row r="174" spans="1:20" ht="15.75" x14ac:dyDescent="0.25">
      <c r="A174" s="9" t="s">
        <v>213</v>
      </c>
      <c r="B174" s="12">
        <v>42263</v>
      </c>
      <c r="C174" s="42">
        <v>8611</v>
      </c>
      <c r="D174">
        <v>13</v>
      </c>
      <c r="E174">
        <v>0</v>
      </c>
      <c r="F174">
        <v>17</v>
      </c>
      <c r="G174">
        <v>0</v>
      </c>
      <c r="H174">
        <v>0</v>
      </c>
      <c r="I174" s="8">
        <v>1</v>
      </c>
      <c r="J174" t="s">
        <v>157</v>
      </c>
      <c r="K174" s="47" t="s">
        <v>242</v>
      </c>
      <c r="L174" s="48"/>
      <c r="M174" s="48"/>
      <c r="N174" s="48"/>
      <c r="O174" s="48"/>
      <c r="P174" s="48"/>
      <c r="Q174" s="48"/>
      <c r="R174" s="49"/>
      <c r="S174" s="11">
        <v>42263</v>
      </c>
      <c r="T174" t="s">
        <v>160</v>
      </c>
    </row>
    <row r="175" spans="1:20" ht="15.75" x14ac:dyDescent="0.25">
      <c r="A175" s="9" t="s">
        <v>213</v>
      </c>
      <c r="B175" s="12">
        <v>42263</v>
      </c>
      <c r="C175" s="42">
        <v>82816</v>
      </c>
      <c r="D175">
        <v>13</v>
      </c>
      <c r="E175">
        <v>0</v>
      </c>
      <c r="F175">
        <v>17</v>
      </c>
      <c r="G175">
        <v>0</v>
      </c>
      <c r="H175">
        <v>0</v>
      </c>
      <c r="I175" s="8">
        <v>1</v>
      </c>
      <c r="J175" t="s">
        <v>157</v>
      </c>
      <c r="K175" s="47" t="s">
        <v>274</v>
      </c>
      <c r="L175" s="48"/>
      <c r="M175" s="48"/>
      <c r="N175" s="48"/>
      <c r="O175" s="48"/>
      <c r="P175" s="48"/>
      <c r="Q175" s="48"/>
      <c r="R175" s="49"/>
      <c r="S175" s="11">
        <v>42263</v>
      </c>
      <c r="T175" t="s">
        <v>160</v>
      </c>
    </row>
    <row r="176" spans="1:20" ht="15.75" x14ac:dyDescent="0.25">
      <c r="A176" s="9" t="s">
        <v>165</v>
      </c>
      <c r="B176" s="12">
        <v>42263</v>
      </c>
      <c r="C176" s="42">
        <v>86104</v>
      </c>
      <c r="D176">
        <v>13</v>
      </c>
      <c r="E176">
        <v>0</v>
      </c>
      <c r="F176">
        <v>17</v>
      </c>
      <c r="G176">
        <v>0</v>
      </c>
      <c r="H176">
        <v>0</v>
      </c>
      <c r="I176" s="8">
        <v>1</v>
      </c>
      <c r="J176" t="s">
        <v>157</v>
      </c>
      <c r="K176" s="47" t="s">
        <v>248</v>
      </c>
      <c r="L176" s="48"/>
      <c r="M176" s="48"/>
      <c r="N176" s="48"/>
      <c r="O176" s="48"/>
      <c r="P176" s="48"/>
      <c r="Q176" s="48"/>
      <c r="R176" s="49"/>
      <c r="S176" s="11">
        <v>42263</v>
      </c>
      <c r="T176" t="s">
        <v>160</v>
      </c>
    </row>
    <row r="177" spans="1:20" ht="15.75" x14ac:dyDescent="0.25">
      <c r="A177" s="9" t="s">
        <v>165</v>
      </c>
      <c r="B177" s="12">
        <v>42263</v>
      </c>
      <c r="C177" s="42">
        <v>71851</v>
      </c>
      <c r="D177">
        <v>13</v>
      </c>
      <c r="E177">
        <v>0</v>
      </c>
      <c r="F177">
        <v>17</v>
      </c>
      <c r="G177">
        <v>0</v>
      </c>
      <c r="H177">
        <v>0</v>
      </c>
      <c r="I177" s="8">
        <v>1</v>
      </c>
      <c r="J177" t="s">
        <v>157</v>
      </c>
      <c r="K177" s="47" t="s">
        <v>248</v>
      </c>
      <c r="L177" s="48"/>
      <c r="M177" s="48"/>
      <c r="N177" s="48"/>
      <c r="O177" s="48"/>
      <c r="P177" s="48"/>
      <c r="Q177" s="48"/>
      <c r="R177" s="49"/>
      <c r="S177" s="11">
        <v>42263</v>
      </c>
      <c r="T177" t="s">
        <v>160</v>
      </c>
    </row>
    <row r="178" spans="1:20" ht="15.75" x14ac:dyDescent="0.25">
      <c r="A178" s="6" t="s">
        <v>50</v>
      </c>
      <c r="B178" s="10">
        <v>42263</v>
      </c>
      <c r="C178" s="5">
        <v>75122</v>
      </c>
      <c r="D178">
        <v>21</v>
      </c>
      <c r="E178">
        <v>0</v>
      </c>
      <c r="F178">
        <v>0</v>
      </c>
      <c r="G178">
        <v>0</v>
      </c>
      <c r="H178">
        <v>0</v>
      </c>
      <c r="I178" s="8">
        <v>1</v>
      </c>
      <c r="J178" t="s">
        <v>89</v>
      </c>
      <c r="K178" s="50" t="s">
        <v>248</v>
      </c>
      <c r="L178" s="51"/>
      <c r="M178" s="51"/>
      <c r="N178" s="51"/>
      <c r="O178" s="51"/>
      <c r="P178" s="51"/>
      <c r="Q178" s="51"/>
      <c r="R178" s="52"/>
      <c r="S178" s="11">
        <v>42263</v>
      </c>
      <c r="T178" t="s">
        <v>160</v>
      </c>
    </row>
    <row r="179" spans="1:20" s="28" customFormat="1" ht="16.5" thickBot="1" x14ac:dyDescent="0.3">
      <c r="A179" s="39" t="s">
        <v>50</v>
      </c>
      <c r="B179" s="27">
        <v>42263</v>
      </c>
      <c r="C179" s="34">
        <v>5970</v>
      </c>
      <c r="D179" s="28">
        <v>21</v>
      </c>
      <c r="E179" s="28">
        <v>0</v>
      </c>
      <c r="F179" s="28">
        <v>0</v>
      </c>
      <c r="G179" s="28">
        <v>0</v>
      </c>
      <c r="H179" s="28">
        <v>0</v>
      </c>
      <c r="I179" s="29">
        <v>1</v>
      </c>
      <c r="J179" s="28" t="s">
        <v>89</v>
      </c>
      <c r="K179" s="55" t="s">
        <v>248</v>
      </c>
      <c r="L179" s="56"/>
      <c r="M179" s="56"/>
      <c r="N179" s="56"/>
      <c r="O179" s="56"/>
      <c r="P179" s="56"/>
      <c r="Q179" s="56"/>
      <c r="R179" s="57"/>
      <c r="S179" s="30">
        <v>42263</v>
      </c>
      <c r="T179" s="28" t="s">
        <v>160</v>
      </c>
    </row>
    <row r="180" spans="1:20" ht="15.75" x14ac:dyDescent="0.25">
      <c r="A180" s="6" t="s">
        <v>50</v>
      </c>
      <c r="B180" s="10">
        <v>42271</v>
      </c>
      <c r="C180" s="5">
        <v>94405</v>
      </c>
      <c r="D180">
        <v>21</v>
      </c>
      <c r="E180">
        <v>0</v>
      </c>
      <c r="F180">
        <v>0</v>
      </c>
      <c r="G180">
        <v>0</v>
      </c>
      <c r="H180">
        <v>0</v>
      </c>
      <c r="I180" s="8">
        <v>1</v>
      </c>
      <c r="J180" t="s">
        <v>89</v>
      </c>
      <c r="K180" s="50" t="s">
        <v>275</v>
      </c>
      <c r="L180" s="51"/>
      <c r="M180" s="51"/>
      <c r="N180" s="51"/>
      <c r="O180" s="51"/>
      <c r="P180" s="51"/>
      <c r="Q180" s="51"/>
      <c r="R180" s="52"/>
      <c r="S180" s="11">
        <v>42271</v>
      </c>
      <c r="T180" t="s">
        <v>160</v>
      </c>
    </row>
    <row r="181" spans="1:20" ht="15.75" x14ac:dyDescent="0.25">
      <c r="A181" s="6" t="s">
        <v>50</v>
      </c>
      <c r="B181" s="10">
        <v>42271</v>
      </c>
      <c r="C181" s="5">
        <v>233012</v>
      </c>
      <c r="D181">
        <v>21</v>
      </c>
      <c r="E181">
        <v>0</v>
      </c>
      <c r="F181">
        <v>0</v>
      </c>
      <c r="G181">
        <v>0</v>
      </c>
      <c r="H181">
        <v>0</v>
      </c>
      <c r="I181" s="8">
        <v>1</v>
      </c>
      <c r="J181" t="s">
        <v>89</v>
      </c>
      <c r="K181" s="50" t="s">
        <v>275</v>
      </c>
      <c r="L181" s="51"/>
      <c r="M181" s="51"/>
      <c r="N181" s="51"/>
      <c r="O181" s="51"/>
      <c r="P181" s="51"/>
      <c r="Q181" s="51"/>
      <c r="R181" s="52"/>
      <c r="S181" s="11">
        <v>42271</v>
      </c>
      <c r="T181" t="s">
        <v>160</v>
      </c>
    </row>
    <row r="182" spans="1:20" ht="15.75" x14ac:dyDescent="0.25">
      <c r="A182" s="9" t="s">
        <v>53</v>
      </c>
      <c r="B182" s="12">
        <v>42271</v>
      </c>
      <c r="C182" s="42">
        <v>90212</v>
      </c>
      <c r="D182">
        <v>13</v>
      </c>
      <c r="E182">
        <v>0</v>
      </c>
      <c r="F182">
        <v>17</v>
      </c>
      <c r="G182">
        <v>0</v>
      </c>
      <c r="H182">
        <v>0</v>
      </c>
      <c r="I182" s="8">
        <v>1</v>
      </c>
      <c r="J182" t="s">
        <v>157</v>
      </c>
      <c r="K182" s="47" t="s">
        <v>274</v>
      </c>
      <c r="L182" s="48"/>
      <c r="M182" s="48"/>
      <c r="N182" s="48"/>
      <c r="O182" s="48"/>
      <c r="P182" s="48"/>
      <c r="Q182" s="48"/>
      <c r="R182" s="49"/>
      <c r="S182" s="11">
        <v>42271</v>
      </c>
      <c r="T182" t="s">
        <v>160</v>
      </c>
    </row>
    <row r="183" spans="1:20" ht="15.75" x14ac:dyDescent="0.25">
      <c r="A183" s="9" t="s">
        <v>53</v>
      </c>
      <c r="B183" s="12">
        <v>42271</v>
      </c>
      <c r="C183" s="42">
        <v>160160</v>
      </c>
      <c r="D183">
        <v>13</v>
      </c>
      <c r="E183">
        <v>0</v>
      </c>
      <c r="F183">
        <v>17</v>
      </c>
      <c r="G183">
        <v>0</v>
      </c>
      <c r="H183">
        <v>0</v>
      </c>
      <c r="I183" s="8">
        <v>1</v>
      </c>
      <c r="J183" t="s">
        <v>157</v>
      </c>
      <c r="K183" s="47" t="s">
        <v>274</v>
      </c>
      <c r="L183" s="48"/>
      <c r="M183" s="48"/>
      <c r="N183" s="48"/>
      <c r="O183" s="48"/>
      <c r="P183" s="48"/>
      <c r="Q183" s="48"/>
      <c r="R183" s="49"/>
      <c r="S183" s="11">
        <v>42271</v>
      </c>
      <c r="T183" t="s">
        <v>160</v>
      </c>
    </row>
    <row r="184" spans="1:20" ht="15.75" x14ac:dyDescent="0.25">
      <c r="A184" s="9" t="s">
        <v>52</v>
      </c>
      <c r="B184" s="12">
        <v>42271</v>
      </c>
      <c r="C184" s="42">
        <v>48469</v>
      </c>
      <c r="D184">
        <v>13</v>
      </c>
      <c r="E184">
        <v>0</v>
      </c>
      <c r="F184">
        <v>17</v>
      </c>
      <c r="G184">
        <v>0</v>
      </c>
      <c r="H184">
        <v>0</v>
      </c>
      <c r="I184" s="8">
        <v>1</v>
      </c>
      <c r="J184" t="s">
        <v>157</v>
      </c>
      <c r="K184" s="47" t="s">
        <v>242</v>
      </c>
      <c r="L184" s="48"/>
      <c r="M184" s="48"/>
      <c r="N184" s="48"/>
      <c r="O184" s="48"/>
      <c r="P184" s="48"/>
      <c r="Q184" s="48"/>
      <c r="R184" s="49"/>
      <c r="S184" s="11">
        <v>42271</v>
      </c>
      <c r="T184" t="s">
        <v>160</v>
      </c>
    </row>
    <row r="185" spans="1:20" ht="15.75" x14ac:dyDescent="0.25">
      <c r="A185" s="9" t="s">
        <v>52</v>
      </c>
      <c r="B185" s="12">
        <v>42271</v>
      </c>
      <c r="C185" s="42">
        <v>75523</v>
      </c>
      <c r="D185">
        <v>13</v>
      </c>
      <c r="E185">
        <v>0</v>
      </c>
      <c r="F185">
        <v>17</v>
      </c>
      <c r="G185">
        <v>0</v>
      </c>
      <c r="H185">
        <v>0</v>
      </c>
      <c r="I185" s="8">
        <v>1</v>
      </c>
      <c r="J185" t="s">
        <v>157</v>
      </c>
      <c r="K185" s="47" t="s">
        <v>242</v>
      </c>
      <c r="L185" s="48"/>
      <c r="M185" s="48"/>
      <c r="N185" s="48"/>
      <c r="O185" s="48"/>
      <c r="P185" s="48"/>
      <c r="Q185" s="48"/>
      <c r="R185" s="49"/>
      <c r="S185" s="11">
        <v>42271</v>
      </c>
      <c r="T185" t="s">
        <v>160</v>
      </c>
    </row>
    <row r="186" spans="1:20" ht="15.75" x14ac:dyDescent="0.25">
      <c r="A186" s="9" t="s">
        <v>213</v>
      </c>
      <c r="B186" s="12">
        <v>42271</v>
      </c>
      <c r="C186" s="42">
        <v>120052</v>
      </c>
      <c r="D186">
        <v>13</v>
      </c>
      <c r="E186">
        <v>0</v>
      </c>
      <c r="F186">
        <v>17</v>
      </c>
      <c r="G186">
        <v>0</v>
      </c>
      <c r="H186">
        <v>0</v>
      </c>
      <c r="I186" s="8">
        <v>1</v>
      </c>
      <c r="J186" t="s">
        <v>157</v>
      </c>
      <c r="K186" s="47" t="s">
        <v>276</v>
      </c>
      <c r="L186" s="48"/>
      <c r="M186" s="48"/>
      <c r="N186" s="48"/>
      <c r="O186" s="48"/>
      <c r="P186" s="48"/>
      <c r="Q186" s="48"/>
      <c r="R186" s="49"/>
      <c r="S186" s="11">
        <v>42271</v>
      </c>
      <c r="T186" t="s">
        <v>160</v>
      </c>
    </row>
    <row r="187" spans="1:20" ht="15.75" x14ac:dyDescent="0.25">
      <c r="A187" s="9" t="s">
        <v>213</v>
      </c>
      <c r="B187" s="12">
        <v>42271</v>
      </c>
      <c r="C187" s="42">
        <v>97320</v>
      </c>
      <c r="D187">
        <v>13</v>
      </c>
      <c r="E187">
        <v>0</v>
      </c>
      <c r="F187">
        <v>17</v>
      </c>
      <c r="G187">
        <v>0</v>
      </c>
      <c r="H187">
        <v>0</v>
      </c>
      <c r="I187" s="8">
        <v>1</v>
      </c>
      <c r="J187" t="s">
        <v>157</v>
      </c>
      <c r="K187" s="47" t="s">
        <v>276</v>
      </c>
      <c r="L187" s="48"/>
      <c r="M187" s="48"/>
      <c r="N187" s="48"/>
      <c r="O187" s="48"/>
      <c r="P187" s="48"/>
      <c r="Q187" s="48"/>
      <c r="R187" s="49"/>
      <c r="S187" s="11">
        <v>42271</v>
      </c>
      <c r="T187" t="s">
        <v>160</v>
      </c>
    </row>
    <row r="188" spans="1:20" ht="15.75" x14ac:dyDescent="0.25">
      <c r="A188" s="9" t="s">
        <v>165</v>
      </c>
      <c r="B188" s="12">
        <v>42271</v>
      </c>
      <c r="C188" s="42">
        <v>90388</v>
      </c>
      <c r="D188">
        <v>13</v>
      </c>
      <c r="E188">
        <v>0</v>
      </c>
      <c r="F188">
        <v>17</v>
      </c>
      <c r="G188">
        <v>0</v>
      </c>
      <c r="H188">
        <v>0</v>
      </c>
      <c r="I188" s="8">
        <v>1</v>
      </c>
      <c r="J188" t="s">
        <v>157</v>
      </c>
      <c r="K188" s="47" t="s">
        <v>277</v>
      </c>
      <c r="L188" s="48"/>
      <c r="M188" s="48"/>
      <c r="N188" s="48"/>
      <c r="O188" s="48"/>
      <c r="P188" s="48"/>
      <c r="Q188" s="48"/>
      <c r="R188" s="49"/>
      <c r="S188" s="11">
        <v>42271</v>
      </c>
      <c r="T188" t="s">
        <v>160</v>
      </c>
    </row>
    <row r="189" spans="1:20" s="28" customFormat="1" ht="16.5" thickBot="1" x14ac:dyDescent="0.3">
      <c r="A189" s="40" t="s">
        <v>165</v>
      </c>
      <c r="B189" s="33">
        <v>42271</v>
      </c>
      <c r="C189" s="44">
        <v>35931</v>
      </c>
      <c r="D189" s="28">
        <v>13</v>
      </c>
      <c r="E189" s="28">
        <v>0</v>
      </c>
      <c r="F189" s="28">
        <v>17</v>
      </c>
      <c r="G189" s="28">
        <v>0</v>
      </c>
      <c r="H189" s="28">
        <v>0</v>
      </c>
      <c r="I189" s="29">
        <v>1</v>
      </c>
      <c r="J189" s="28" t="s">
        <v>157</v>
      </c>
      <c r="K189" s="80" t="s">
        <v>242</v>
      </c>
      <c r="L189" s="81"/>
      <c r="M189" s="81"/>
      <c r="N189" s="81"/>
      <c r="O189" s="81"/>
      <c r="P189" s="81"/>
      <c r="Q189" s="81"/>
      <c r="R189" s="82"/>
      <c r="S189" s="30">
        <v>42271</v>
      </c>
      <c r="T189" s="28" t="s">
        <v>160</v>
      </c>
    </row>
    <row r="190" spans="1:20" ht="15.75" x14ac:dyDescent="0.25">
      <c r="A190" s="45" t="s">
        <v>50</v>
      </c>
      <c r="B190" s="46">
        <v>42279</v>
      </c>
      <c r="C190" s="38">
        <v>17522</v>
      </c>
      <c r="D190">
        <v>11</v>
      </c>
      <c r="E190">
        <v>0</v>
      </c>
      <c r="F190">
        <v>0</v>
      </c>
      <c r="G190">
        <v>0</v>
      </c>
      <c r="H190">
        <v>0</v>
      </c>
      <c r="I190" s="8">
        <v>1</v>
      </c>
      <c r="J190" t="s">
        <v>89</v>
      </c>
      <c r="K190" s="83" t="s">
        <v>278</v>
      </c>
      <c r="L190" s="84"/>
      <c r="M190" s="84"/>
      <c r="N190" s="84"/>
      <c r="O190" s="84"/>
      <c r="P190" s="84"/>
      <c r="Q190" s="84"/>
      <c r="R190" s="85"/>
      <c r="S190" s="11">
        <v>42279</v>
      </c>
      <c r="T190" t="s">
        <v>160</v>
      </c>
    </row>
    <row r="191" spans="1:20" ht="15.75" x14ac:dyDescent="0.25">
      <c r="A191" s="6" t="s">
        <v>50</v>
      </c>
      <c r="B191" s="10">
        <v>42279</v>
      </c>
      <c r="C191" s="5">
        <v>133341</v>
      </c>
      <c r="D191">
        <v>11</v>
      </c>
      <c r="E191">
        <v>0</v>
      </c>
      <c r="F191">
        <v>0</v>
      </c>
      <c r="G191">
        <v>0</v>
      </c>
      <c r="H191">
        <v>0</v>
      </c>
      <c r="I191" s="8">
        <v>1</v>
      </c>
      <c r="J191" t="s">
        <v>89</v>
      </c>
      <c r="K191" s="50" t="s">
        <v>278</v>
      </c>
      <c r="L191" s="51"/>
      <c r="M191" s="51"/>
      <c r="N191" s="51"/>
      <c r="O191" s="51"/>
      <c r="P191" s="51"/>
      <c r="Q191" s="51"/>
      <c r="R191" s="52"/>
      <c r="S191" s="11">
        <v>42279</v>
      </c>
      <c r="T191" t="s">
        <v>160</v>
      </c>
    </row>
    <row r="192" spans="1:20" ht="15.75" x14ac:dyDescent="0.25">
      <c r="A192" s="9" t="s">
        <v>213</v>
      </c>
      <c r="B192" s="12">
        <v>42279</v>
      </c>
      <c r="C192" s="42">
        <v>4936</v>
      </c>
      <c r="D192">
        <v>13</v>
      </c>
      <c r="E192">
        <v>0</v>
      </c>
      <c r="F192">
        <v>17</v>
      </c>
      <c r="G192">
        <v>0</v>
      </c>
      <c r="H192">
        <v>0</v>
      </c>
      <c r="I192" s="8">
        <v>1</v>
      </c>
      <c r="J192" t="s">
        <v>157</v>
      </c>
      <c r="K192" s="47" t="s">
        <v>242</v>
      </c>
      <c r="L192" s="48"/>
      <c r="M192" s="48"/>
      <c r="N192" s="48"/>
      <c r="O192" s="48"/>
      <c r="P192" s="48"/>
      <c r="Q192" s="48"/>
      <c r="R192" s="49"/>
      <c r="S192" s="11">
        <v>42279</v>
      </c>
      <c r="T192" t="s">
        <v>160</v>
      </c>
    </row>
    <row r="193" spans="1:20" ht="15.75" x14ac:dyDescent="0.25">
      <c r="A193" s="9" t="s">
        <v>213</v>
      </c>
      <c r="B193" s="12">
        <v>42279</v>
      </c>
      <c r="C193" s="42">
        <v>22731</v>
      </c>
      <c r="D193">
        <v>13</v>
      </c>
      <c r="E193">
        <v>0</v>
      </c>
      <c r="F193">
        <v>17</v>
      </c>
      <c r="G193">
        <v>0</v>
      </c>
      <c r="H193">
        <v>0</v>
      </c>
      <c r="I193" s="8">
        <v>1</v>
      </c>
      <c r="J193" t="s">
        <v>157</v>
      </c>
      <c r="K193" s="47" t="s">
        <v>231</v>
      </c>
      <c r="L193" s="48"/>
      <c r="M193" s="48"/>
      <c r="N193" s="48"/>
      <c r="O193" s="48"/>
      <c r="P193" s="48"/>
      <c r="Q193" s="48"/>
      <c r="R193" s="49"/>
      <c r="S193" s="11">
        <v>42279</v>
      </c>
      <c r="T193" t="s">
        <v>160</v>
      </c>
    </row>
    <row r="194" spans="1:20" ht="15.75" x14ac:dyDescent="0.25">
      <c r="A194" s="9" t="s">
        <v>53</v>
      </c>
      <c r="B194" s="12">
        <v>42279</v>
      </c>
      <c r="C194" s="42">
        <v>13175</v>
      </c>
      <c r="D194">
        <v>13</v>
      </c>
      <c r="E194">
        <v>0</v>
      </c>
      <c r="F194">
        <v>17</v>
      </c>
      <c r="G194">
        <v>0</v>
      </c>
      <c r="H194">
        <v>0</v>
      </c>
      <c r="I194" s="8">
        <v>1</v>
      </c>
      <c r="J194" t="s">
        <v>157</v>
      </c>
      <c r="K194" s="47" t="s">
        <v>242</v>
      </c>
      <c r="L194" s="48"/>
      <c r="M194" s="48"/>
      <c r="N194" s="48"/>
      <c r="O194" s="48"/>
      <c r="P194" s="48"/>
      <c r="Q194" s="48"/>
      <c r="R194" s="49"/>
      <c r="S194" s="11">
        <v>42279</v>
      </c>
      <c r="T194" t="s">
        <v>160</v>
      </c>
    </row>
    <row r="195" spans="1:20" ht="15.75" x14ac:dyDescent="0.25">
      <c r="A195" s="9" t="s">
        <v>53</v>
      </c>
      <c r="B195" s="12">
        <v>42279</v>
      </c>
      <c r="C195" s="42">
        <v>132990</v>
      </c>
      <c r="D195">
        <v>13</v>
      </c>
      <c r="E195">
        <v>0</v>
      </c>
      <c r="F195">
        <v>17</v>
      </c>
      <c r="G195">
        <v>0</v>
      </c>
      <c r="H195">
        <v>0</v>
      </c>
      <c r="I195" s="8">
        <v>1</v>
      </c>
      <c r="J195" t="s">
        <v>157</v>
      </c>
      <c r="K195" s="47" t="s">
        <v>279</v>
      </c>
      <c r="L195" s="48"/>
      <c r="M195" s="48"/>
      <c r="N195" s="48"/>
      <c r="O195" s="48"/>
      <c r="P195" s="48"/>
      <c r="Q195" s="48"/>
      <c r="R195" s="49"/>
      <c r="S195" s="11">
        <v>42279</v>
      </c>
      <c r="T195" t="s">
        <v>160</v>
      </c>
    </row>
    <row r="196" spans="1:20" ht="15.75" x14ac:dyDescent="0.25">
      <c r="A196" s="9" t="s">
        <v>52</v>
      </c>
      <c r="B196" s="12">
        <v>42279</v>
      </c>
      <c r="C196" s="42">
        <v>81058</v>
      </c>
      <c r="D196">
        <v>13</v>
      </c>
      <c r="E196">
        <v>0</v>
      </c>
      <c r="F196">
        <v>17</v>
      </c>
      <c r="G196">
        <v>0</v>
      </c>
      <c r="H196">
        <v>0</v>
      </c>
      <c r="I196" s="8">
        <v>1</v>
      </c>
      <c r="J196" t="s">
        <v>157</v>
      </c>
      <c r="K196" s="47" t="s">
        <v>242</v>
      </c>
      <c r="L196" s="48"/>
      <c r="M196" s="48"/>
      <c r="N196" s="48"/>
      <c r="O196" s="48"/>
      <c r="P196" s="48"/>
      <c r="Q196" s="48"/>
      <c r="R196" s="49"/>
      <c r="S196" s="11">
        <v>42279</v>
      </c>
      <c r="T196" t="s">
        <v>160</v>
      </c>
    </row>
    <row r="197" spans="1:20" ht="15.75" x14ac:dyDescent="0.25">
      <c r="A197" s="9" t="s">
        <v>52</v>
      </c>
      <c r="B197" s="12">
        <v>42279</v>
      </c>
      <c r="C197" s="42">
        <v>246286</v>
      </c>
      <c r="D197">
        <v>13</v>
      </c>
      <c r="E197">
        <v>0</v>
      </c>
      <c r="F197">
        <v>17</v>
      </c>
      <c r="G197">
        <v>0</v>
      </c>
      <c r="H197">
        <v>0</v>
      </c>
      <c r="I197" s="8">
        <v>1</v>
      </c>
      <c r="J197" t="s">
        <v>157</v>
      </c>
      <c r="K197" s="47" t="s">
        <v>242</v>
      </c>
      <c r="L197" s="48"/>
      <c r="M197" s="48"/>
      <c r="N197" s="48"/>
      <c r="O197" s="48"/>
      <c r="P197" s="48"/>
      <c r="Q197" s="48"/>
      <c r="R197" s="49"/>
      <c r="S197" s="11">
        <v>42279</v>
      </c>
      <c r="T197" t="s">
        <v>160</v>
      </c>
    </row>
    <row r="198" spans="1:20" ht="15.75" x14ac:dyDescent="0.25">
      <c r="A198" s="9" t="s">
        <v>165</v>
      </c>
      <c r="B198" s="12">
        <v>42279</v>
      </c>
      <c r="C198" s="42">
        <v>39693</v>
      </c>
      <c r="D198">
        <v>13</v>
      </c>
      <c r="E198">
        <v>0</v>
      </c>
      <c r="F198">
        <v>17</v>
      </c>
      <c r="G198">
        <v>0</v>
      </c>
      <c r="H198">
        <v>0</v>
      </c>
      <c r="I198" s="8">
        <v>1</v>
      </c>
      <c r="J198" t="s">
        <v>157</v>
      </c>
      <c r="K198" s="47" t="s">
        <v>231</v>
      </c>
      <c r="L198" s="48"/>
      <c r="M198" s="48"/>
      <c r="N198" s="48"/>
      <c r="O198" s="48"/>
      <c r="P198" s="48"/>
      <c r="Q198" s="48"/>
      <c r="R198" s="49"/>
      <c r="S198" s="11">
        <v>42279</v>
      </c>
      <c r="T198" t="s">
        <v>160</v>
      </c>
    </row>
    <row r="199" spans="1:20" s="28" customFormat="1" ht="16.5" thickBot="1" x14ac:dyDescent="0.3">
      <c r="A199" s="40" t="s">
        <v>165</v>
      </c>
      <c r="B199" s="33">
        <v>42279</v>
      </c>
      <c r="C199" s="44">
        <v>214253</v>
      </c>
      <c r="D199" s="28">
        <v>13</v>
      </c>
      <c r="E199" s="28">
        <v>0</v>
      </c>
      <c r="F199" s="28">
        <v>17</v>
      </c>
      <c r="G199" s="28">
        <v>0</v>
      </c>
      <c r="H199" s="28">
        <v>0</v>
      </c>
      <c r="I199" s="29">
        <v>1</v>
      </c>
      <c r="J199" s="28" t="s">
        <v>157</v>
      </c>
      <c r="K199" s="80" t="s">
        <v>242</v>
      </c>
      <c r="L199" s="81"/>
      <c r="M199" s="81"/>
      <c r="N199" s="81"/>
      <c r="O199" s="81"/>
      <c r="P199" s="81"/>
      <c r="Q199" s="81"/>
      <c r="R199" s="82"/>
      <c r="S199" s="30">
        <v>42279</v>
      </c>
      <c r="T199" s="28" t="s">
        <v>160</v>
      </c>
    </row>
    <row r="200" spans="1:20" ht="15.75" x14ac:dyDescent="0.25">
      <c r="A200" s="9" t="s">
        <v>280</v>
      </c>
      <c r="B200" s="12">
        <v>42286</v>
      </c>
      <c r="C200" s="42">
        <v>234996</v>
      </c>
      <c r="D200">
        <v>9</v>
      </c>
      <c r="E200">
        <v>0</v>
      </c>
      <c r="F200">
        <v>21</v>
      </c>
      <c r="G200">
        <v>0</v>
      </c>
      <c r="H200">
        <v>0</v>
      </c>
      <c r="I200" s="8">
        <v>1</v>
      </c>
      <c r="J200" t="s">
        <v>157</v>
      </c>
      <c r="K200" s="47" t="s">
        <v>219</v>
      </c>
      <c r="L200" s="48"/>
      <c r="M200" s="48"/>
      <c r="N200" s="48"/>
      <c r="O200" s="48"/>
      <c r="P200" s="48"/>
      <c r="Q200" s="48"/>
      <c r="R200" s="49"/>
      <c r="S200" s="11">
        <v>42286</v>
      </c>
      <c r="T200" t="s">
        <v>160</v>
      </c>
    </row>
    <row r="201" spans="1:20" ht="15.75" x14ac:dyDescent="0.25">
      <c r="A201" s="9" t="s">
        <v>280</v>
      </c>
      <c r="B201" s="12">
        <v>42286</v>
      </c>
      <c r="C201" s="42">
        <v>196490</v>
      </c>
      <c r="D201">
        <v>9</v>
      </c>
      <c r="E201">
        <v>0</v>
      </c>
      <c r="F201">
        <v>21</v>
      </c>
      <c r="G201">
        <v>0</v>
      </c>
      <c r="H201">
        <v>0</v>
      </c>
      <c r="I201" s="8">
        <v>1</v>
      </c>
      <c r="J201" t="s">
        <v>157</v>
      </c>
      <c r="K201" s="47" t="s">
        <v>219</v>
      </c>
      <c r="L201" s="48"/>
      <c r="M201" s="48"/>
      <c r="N201" s="48"/>
      <c r="O201" s="48"/>
      <c r="P201" s="48"/>
      <c r="Q201" s="48"/>
      <c r="R201" s="49"/>
      <c r="S201" s="11">
        <v>42286</v>
      </c>
      <c r="T201" t="s">
        <v>160</v>
      </c>
    </row>
    <row r="202" spans="1:20" ht="15.75" x14ac:dyDescent="0.25">
      <c r="A202" s="9" t="s">
        <v>281</v>
      </c>
      <c r="B202" s="12">
        <v>42286</v>
      </c>
      <c r="C202" s="42">
        <v>203813</v>
      </c>
      <c r="D202">
        <v>9</v>
      </c>
      <c r="E202">
        <v>0</v>
      </c>
      <c r="F202">
        <v>21</v>
      </c>
      <c r="G202">
        <v>0</v>
      </c>
      <c r="H202">
        <v>0</v>
      </c>
      <c r="I202" s="8">
        <v>1</v>
      </c>
      <c r="J202" t="s">
        <v>157</v>
      </c>
      <c r="K202" s="47" t="s">
        <v>219</v>
      </c>
      <c r="L202" s="48"/>
      <c r="M202" s="48"/>
      <c r="N202" s="48"/>
      <c r="O202" s="48"/>
      <c r="P202" s="48"/>
      <c r="Q202" s="48"/>
      <c r="R202" s="49"/>
      <c r="S202" s="11">
        <v>42286</v>
      </c>
      <c r="T202" t="s">
        <v>160</v>
      </c>
    </row>
    <row r="203" spans="1:20" ht="15.75" x14ac:dyDescent="0.25">
      <c r="A203" s="9" t="s">
        <v>281</v>
      </c>
      <c r="B203" s="12">
        <v>42286</v>
      </c>
      <c r="C203" s="42">
        <v>139409</v>
      </c>
      <c r="D203">
        <v>9</v>
      </c>
      <c r="E203">
        <v>0</v>
      </c>
      <c r="F203">
        <v>21</v>
      </c>
      <c r="G203">
        <v>0</v>
      </c>
      <c r="H203">
        <v>0</v>
      </c>
      <c r="I203" s="8">
        <v>1</v>
      </c>
      <c r="J203" t="s">
        <v>157</v>
      </c>
      <c r="K203" s="47" t="s">
        <v>219</v>
      </c>
      <c r="L203" s="48"/>
      <c r="M203" s="48"/>
      <c r="N203" s="48"/>
      <c r="O203" s="48"/>
      <c r="P203" s="48"/>
      <c r="Q203" s="48"/>
      <c r="R203" s="49"/>
      <c r="S203" s="11">
        <v>42286</v>
      </c>
      <c r="T203" t="s">
        <v>160</v>
      </c>
    </row>
    <row r="204" spans="1:20" ht="15.75" x14ac:dyDescent="0.25">
      <c r="A204" s="6" t="s">
        <v>282</v>
      </c>
      <c r="B204" s="10">
        <v>42286</v>
      </c>
      <c r="C204" s="5">
        <v>102978</v>
      </c>
      <c r="D204">
        <v>20</v>
      </c>
      <c r="E204">
        <v>0</v>
      </c>
      <c r="F204">
        <v>0</v>
      </c>
      <c r="G204">
        <v>0</v>
      </c>
      <c r="H204">
        <v>0</v>
      </c>
      <c r="I204" s="8">
        <v>1</v>
      </c>
      <c r="J204" t="s">
        <v>89</v>
      </c>
      <c r="K204" s="50" t="s">
        <v>242</v>
      </c>
      <c r="L204" s="51"/>
      <c r="M204" s="51"/>
      <c r="N204" s="51"/>
      <c r="O204" s="51"/>
      <c r="P204" s="51"/>
      <c r="Q204" s="51"/>
      <c r="R204" s="52"/>
      <c r="S204" s="11">
        <v>42286</v>
      </c>
      <c r="T204" t="s">
        <v>160</v>
      </c>
    </row>
    <row r="205" spans="1:20" ht="15.75" x14ac:dyDescent="0.25">
      <c r="A205" s="6" t="s">
        <v>282</v>
      </c>
      <c r="B205" s="10">
        <v>42286</v>
      </c>
      <c r="C205" s="5">
        <v>297246</v>
      </c>
      <c r="D205">
        <v>20</v>
      </c>
      <c r="E205">
        <v>0</v>
      </c>
      <c r="F205">
        <v>0</v>
      </c>
      <c r="G205">
        <v>0</v>
      </c>
      <c r="H205">
        <v>0</v>
      </c>
      <c r="I205" s="8">
        <v>1</v>
      </c>
      <c r="J205" t="s">
        <v>89</v>
      </c>
      <c r="K205" s="50" t="s">
        <v>242</v>
      </c>
      <c r="L205" s="51"/>
      <c r="M205" s="51"/>
      <c r="N205" s="51"/>
      <c r="O205" s="51"/>
      <c r="P205" s="51"/>
      <c r="Q205" s="51"/>
      <c r="R205" s="52"/>
      <c r="S205" s="11">
        <v>42286</v>
      </c>
      <c r="T205" t="s">
        <v>160</v>
      </c>
    </row>
    <row r="206" spans="1:20" ht="15.75" x14ac:dyDescent="0.25">
      <c r="A206" s="6" t="s">
        <v>50</v>
      </c>
      <c r="B206" s="10">
        <v>42286</v>
      </c>
      <c r="C206" s="5">
        <v>306071</v>
      </c>
      <c r="D206">
        <v>20</v>
      </c>
      <c r="E206">
        <v>0</v>
      </c>
      <c r="F206">
        <v>0</v>
      </c>
      <c r="G206">
        <v>0</v>
      </c>
      <c r="H206">
        <v>0</v>
      </c>
      <c r="I206" s="8">
        <v>1</v>
      </c>
      <c r="J206" t="s">
        <v>89</v>
      </c>
      <c r="K206" s="50" t="s">
        <v>242</v>
      </c>
      <c r="L206" s="51"/>
      <c r="M206" s="51"/>
      <c r="N206" s="51"/>
      <c r="O206" s="51"/>
      <c r="P206" s="51"/>
      <c r="Q206" s="51"/>
      <c r="R206" s="52"/>
      <c r="S206" s="11">
        <v>42286</v>
      </c>
      <c r="T206" t="s">
        <v>160</v>
      </c>
    </row>
    <row r="207" spans="1:20" ht="15.75" x14ac:dyDescent="0.25">
      <c r="A207" s="6" t="s">
        <v>50</v>
      </c>
      <c r="B207" s="10">
        <v>42286</v>
      </c>
      <c r="C207" s="5">
        <v>27278</v>
      </c>
      <c r="D207">
        <v>20</v>
      </c>
      <c r="E207">
        <v>0</v>
      </c>
      <c r="F207">
        <v>0</v>
      </c>
      <c r="G207">
        <v>0</v>
      </c>
      <c r="H207">
        <v>0</v>
      </c>
      <c r="I207" s="8">
        <v>1</v>
      </c>
      <c r="J207" t="s">
        <v>89</v>
      </c>
      <c r="K207" s="50" t="s">
        <v>242</v>
      </c>
      <c r="L207" s="51"/>
      <c r="M207" s="51"/>
      <c r="N207" s="51"/>
      <c r="O207" s="51"/>
      <c r="P207" s="51"/>
      <c r="Q207" s="51"/>
      <c r="R207" s="52"/>
      <c r="S207" s="11">
        <v>42286</v>
      </c>
      <c r="T207" t="s">
        <v>160</v>
      </c>
    </row>
    <row r="208" spans="1:20" ht="15.75" x14ac:dyDescent="0.25">
      <c r="A208" s="9" t="s">
        <v>213</v>
      </c>
      <c r="B208" s="12">
        <v>42286</v>
      </c>
      <c r="C208" s="42">
        <v>69262</v>
      </c>
      <c r="D208">
        <v>22</v>
      </c>
      <c r="E208">
        <v>0</v>
      </c>
      <c r="F208">
        <v>8</v>
      </c>
      <c r="G208">
        <v>0</v>
      </c>
      <c r="H208">
        <v>0</v>
      </c>
      <c r="I208" s="8">
        <v>1</v>
      </c>
      <c r="J208" t="s">
        <v>157</v>
      </c>
      <c r="K208" s="47" t="s">
        <v>242</v>
      </c>
      <c r="L208" s="48"/>
      <c r="M208" s="48"/>
      <c r="N208" s="48"/>
      <c r="O208" s="48"/>
      <c r="P208" s="48"/>
      <c r="Q208" s="48"/>
      <c r="R208" s="49"/>
      <c r="S208" s="11">
        <v>42286</v>
      </c>
      <c r="T208" t="s">
        <v>160</v>
      </c>
    </row>
    <row r="209" spans="1:20" ht="15.75" x14ac:dyDescent="0.25">
      <c r="A209" s="9" t="s">
        <v>213</v>
      </c>
      <c r="B209" s="12">
        <v>42286</v>
      </c>
      <c r="C209" s="42">
        <v>66604</v>
      </c>
      <c r="D209">
        <v>22</v>
      </c>
      <c r="E209">
        <v>0</v>
      </c>
      <c r="F209">
        <v>8</v>
      </c>
      <c r="G209">
        <v>0</v>
      </c>
      <c r="H209">
        <v>0</v>
      </c>
      <c r="I209" s="8">
        <v>1</v>
      </c>
      <c r="J209" t="s">
        <v>157</v>
      </c>
      <c r="K209" s="47" t="s">
        <v>242</v>
      </c>
      <c r="L209" s="48"/>
      <c r="M209" s="48"/>
      <c r="N209" s="48"/>
      <c r="O209" s="48"/>
      <c r="P209" s="48"/>
      <c r="Q209" s="48"/>
      <c r="R209" s="49"/>
      <c r="S209" s="11">
        <v>42286</v>
      </c>
      <c r="T209" t="s">
        <v>160</v>
      </c>
    </row>
    <row r="210" spans="1:20" ht="15.75" x14ac:dyDescent="0.25">
      <c r="A210" s="9" t="s">
        <v>52</v>
      </c>
      <c r="B210" s="12">
        <v>42286</v>
      </c>
      <c r="C210" s="42">
        <v>29537</v>
      </c>
      <c r="D210">
        <v>22</v>
      </c>
      <c r="E210">
        <v>0</v>
      </c>
      <c r="F210">
        <v>8</v>
      </c>
      <c r="G210">
        <v>0</v>
      </c>
      <c r="H210">
        <v>0</v>
      </c>
      <c r="I210" s="8">
        <v>1</v>
      </c>
      <c r="J210" t="s">
        <v>157</v>
      </c>
      <c r="K210" s="47" t="s">
        <v>242</v>
      </c>
      <c r="L210" s="48"/>
      <c r="M210" s="48"/>
      <c r="N210" s="48"/>
      <c r="O210" s="48"/>
      <c r="P210" s="48"/>
      <c r="Q210" s="48"/>
      <c r="R210" s="49"/>
      <c r="S210" s="11">
        <v>42286</v>
      </c>
      <c r="T210" t="s">
        <v>160</v>
      </c>
    </row>
    <row r="211" spans="1:20" ht="15.75" x14ac:dyDescent="0.25">
      <c r="A211" s="9" t="s">
        <v>52</v>
      </c>
      <c r="B211" s="12">
        <v>42286</v>
      </c>
      <c r="C211" s="42">
        <v>81058</v>
      </c>
      <c r="D211">
        <v>22</v>
      </c>
      <c r="E211">
        <v>0</v>
      </c>
      <c r="F211">
        <v>8</v>
      </c>
      <c r="G211">
        <v>0</v>
      </c>
      <c r="H211">
        <v>0</v>
      </c>
      <c r="I211" s="8">
        <v>1</v>
      </c>
      <c r="J211" t="s">
        <v>157</v>
      </c>
      <c r="K211" s="47" t="s">
        <v>242</v>
      </c>
      <c r="L211" s="48"/>
      <c r="M211" s="48"/>
      <c r="N211" s="48"/>
      <c r="O211" s="48"/>
      <c r="P211" s="48"/>
      <c r="Q211" s="48"/>
      <c r="R211" s="49"/>
      <c r="S211" s="11">
        <v>42286</v>
      </c>
      <c r="T211" t="s">
        <v>160</v>
      </c>
    </row>
    <row r="212" spans="1:20" ht="15.75" x14ac:dyDescent="0.25">
      <c r="A212" s="9" t="s">
        <v>53</v>
      </c>
      <c r="B212" s="12">
        <v>42286</v>
      </c>
      <c r="C212" s="42">
        <v>22525</v>
      </c>
      <c r="D212">
        <v>22</v>
      </c>
      <c r="E212">
        <v>0</v>
      </c>
      <c r="F212">
        <v>8</v>
      </c>
      <c r="G212">
        <v>0</v>
      </c>
      <c r="H212">
        <v>0</v>
      </c>
      <c r="I212" s="8">
        <v>1</v>
      </c>
      <c r="J212" t="s">
        <v>157</v>
      </c>
      <c r="K212" s="47" t="s">
        <v>283</v>
      </c>
      <c r="L212" s="48"/>
      <c r="M212" s="48"/>
      <c r="N212" s="48"/>
      <c r="O212" s="48"/>
      <c r="P212" s="48"/>
      <c r="Q212" s="48"/>
      <c r="R212" s="49"/>
      <c r="S212" s="11">
        <v>42286</v>
      </c>
      <c r="T212" t="s">
        <v>160</v>
      </c>
    </row>
    <row r="213" spans="1:20" ht="15.75" x14ac:dyDescent="0.25">
      <c r="A213" s="9" t="s">
        <v>53</v>
      </c>
      <c r="B213" s="12">
        <v>42286</v>
      </c>
      <c r="C213" s="42">
        <v>35313</v>
      </c>
      <c r="D213">
        <v>22</v>
      </c>
      <c r="E213">
        <v>0</v>
      </c>
      <c r="F213">
        <v>8</v>
      </c>
      <c r="G213">
        <v>0</v>
      </c>
      <c r="H213">
        <v>0</v>
      </c>
      <c r="I213" s="8">
        <v>1</v>
      </c>
      <c r="J213" t="s">
        <v>157</v>
      </c>
      <c r="K213" s="47" t="s">
        <v>283</v>
      </c>
      <c r="L213" s="48"/>
      <c r="M213" s="48"/>
      <c r="N213" s="48"/>
      <c r="O213" s="48"/>
      <c r="P213" s="48"/>
      <c r="Q213" s="48"/>
      <c r="R213" s="49"/>
      <c r="S213" s="11">
        <v>42286</v>
      </c>
      <c r="T213" t="s">
        <v>160</v>
      </c>
    </row>
    <row r="214" spans="1:20" ht="15.75" x14ac:dyDescent="0.25">
      <c r="A214" s="9" t="s">
        <v>165</v>
      </c>
      <c r="B214" s="12">
        <v>42286</v>
      </c>
      <c r="C214" s="42">
        <v>21887</v>
      </c>
      <c r="D214">
        <v>22</v>
      </c>
      <c r="E214">
        <v>0</v>
      </c>
      <c r="F214">
        <v>8</v>
      </c>
      <c r="G214">
        <v>0</v>
      </c>
      <c r="H214">
        <v>0</v>
      </c>
      <c r="I214" s="8">
        <v>1</v>
      </c>
      <c r="J214" t="s">
        <v>157</v>
      </c>
      <c r="K214" s="47" t="s">
        <v>242</v>
      </c>
      <c r="L214" s="48"/>
      <c r="M214" s="48"/>
      <c r="N214" s="48"/>
      <c r="O214" s="48"/>
      <c r="P214" s="48"/>
      <c r="Q214" s="48"/>
      <c r="R214" s="49"/>
      <c r="S214" s="11">
        <v>42286</v>
      </c>
      <c r="T214" t="s">
        <v>160</v>
      </c>
    </row>
    <row r="215" spans="1:20" s="28" customFormat="1" ht="16.5" thickBot="1" x14ac:dyDescent="0.3">
      <c r="A215" s="40" t="s">
        <v>165</v>
      </c>
      <c r="B215" s="33">
        <v>42286</v>
      </c>
      <c r="C215" s="44">
        <v>21215</v>
      </c>
      <c r="D215" s="28">
        <v>22</v>
      </c>
      <c r="E215" s="28">
        <v>0</v>
      </c>
      <c r="F215" s="28">
        <v>8</v>
      </c>
      <c r="G215" s="28">
        <v>0</v>
      </c>
      <c r="H215" s="28">
        <v>0</v>
      </c>
      <c r="I215" s="29">
        <v>1</v>
      </c>
      <c r="J215" s="28" t="s">
        <v>157</v>
      </c>
      <c r="K215" s="80" t="s">
        <v>284</v>
      </c>
      <c r="L215" s="81"/>
      <c r="M215" s="81"/>
      <c r="N215" s="81"/>
      <c r="O215" s="81"/>
      <c r="P215" s="81"/>
      <c r="Q215" s="81"/>
      <c r="R215" s="82"/>
      <c r="S215" s="30">
        <v>42286</v>
      </c>
      <c r="T215" s="28" t="s">
        <v>160</v>
      </c>
    </row>
    <row r="216" spans="1:20" ht="15.75" x14ac:dyDescent="0.25">
      <c r="A216" s="6" t="s">
        <v>282</v>
      </c>
      <c r="B216" s="10">
        <v>42293</v>
      </c>
      <c r="C216" s="5">
        <v>64689</v>
      </c>
      <c r="D216">
        <v>20</v>
      </c>
      <c r="E216">
        <v>0</v>
      </c>
      <c r="F216">
        <v>0</v>
      </c>
      <c r="G216">
        <v>0</v>
      </c>
      <c r="H216">
        <v>0</v>
      </c>
      <c r="I216" s="8">
        <v>1</v>
      </c>
      <c r="J216" t="s">
        <v>89</v>
      </c>
      <c r="K216" s="50" t="s">
        <v>242</v>
      </c>
      <c r="L216" s="51"/>
      <c r="M216" s="51"/>
      <c r="N216" s="51"/>
      <c r="O216" s="51"/>
      <c r="P216" s="51"/>
      <c r="Q216" s="51"/>
      <c r="R216" s="52"/>
      <c r="S216" s="11">
        <v>42293</v>
      </c>
      <c r="T216" t="s">
        <v>160</v>
      </c>
    </row>
    <row r="217" spans="1:20" ht="15.75" x14ac:dyDescent="0.25">
      <c r="A217" s="6" t="s">
        <v>282</v>
      </c>
      <c r="B217" s="10">
        <v>42293</v>
      </c>
      <c r="C217" s="5">
        <v>104917</v>
      </c>
      <c r="D217">
        <v>20</v>
      </c>
      <c r="E217">
        <v>0</v>
      </c>
      <c r="F217">
        <v>0</v>
      </c>
      <c r="G217">
        <v>0</v>
      </c>
      <c r="H217">
        <v>0</v>
      </c>
      <c r="I217" s="8">
        <v>1</v>
      </c>
      <c r="J217" t="s">
        <v>89</v>
      </c>
      <c r="K217" s="50" t="s">
        <v>242</v>
      </c>
      <c r="L217" s="51"/>
      <c r="M217" s="51"/>
      <c r="N217" s="51"/>
      <c r="O217" s="51"/>
      <c r="P217" s="51"/>
      <c r="Q217" s="51"/>
      <c r="R217" s="52"/>
      <c r="S217" s="11">
        <v>42293</v>
      </c>
      <c r="T217" t="s">
        <v>160</v>
      </c>
    </row>
    <row r="218" spans="1:20" ht="15.75" x14ac:dyDescent="0.25">
      <c r="A218" s="6" t="s">
        <v>285</v>
      </c>
      <c r="B218" s="10">
        <v>42293</v>
      </c>
      <c r="C218" s="5">
        <v>271839</v>
      </c>
      <c r="D218">
        <v>20</v>
      </c>
      <c r="E218">
        <v>0</v>
      </c>
      <c r="F218">
        <v>0</v>
      </c>
      <c r="G218">
        <v>0</v>
      </c>
      <c r="H218">
        <v>0</v>
      </c>
      <c r="I218" s="8">
        <v>1</v>
      </c>
      <c r="J218" t="s">
        <v>89</v>
      </c>
      <c r="K218" s="50" t="s">
        <v>242</v>
      </c>
      <c r="L218" s="51"/>
      <c r="M218" s="51"/>
      <c r="N218" s="51"/>
      <c r="O218" s="51"/>
      <c r="P218" s="51"/>
      <c r="Q218" s="51"/>
      <c r="R218" s="52"/>
      <c r="S218" s="11">
        <v>42293</v>
      </c>
      <c r="T218" t="s">
        <v>160</v>
      </c>
    </row>
    <row r="219" spans="1:20" ht="15.75" x14ac:dyDescent="0.25">
      <c r="A219" s="6" t="s">
        <v>285</v>
      </c>
      <c r="B219" s="10">
        <v>42293</v>
      </c>
      <c r="C219" s="5">
        <v>60843</v>
      </c>
      <c r="D219">
        <v>20</v>
      </c>
      <c r="E219">
        <v>0</v>
      </c>
      <c r="F219">
        <v>0</v>
      </c>
      <c r="G219">
        <v>0</v>
      </c>
      <c r="H219">
        <v>0</v>
      </c>
      <c r="I219" s="8">
        <v>1</v>
      </c>
      <c r="J219" t="s">
        <v>89</v>
      </c>
      <c r="K219" s="50" t="s">
        <v>242</v>
      </c>
      <c r="L219" s="51"/>
      <c r="M219" s="51"/>
      <c r="N219" s="51"/>
      <c r="O219" s="51"/>
      <c r="P219" s="51"/>
      <c r="Q219" s="51"/>
      <c r="R219" s="52"/>
      <c r="S219" s="11">
        <v>42293</v>
      </c>
      <c r="T219" t="s">
        <v>160</v>
      </c>
    </row>
    <row r="220" spans="1:20" ht="15.75" x14ac:dyDescent="0.25">
      <c r="A220" s="6" t="s">
        <v>50</v>
      </c>
      <c r="B220" s="10">
        <v>42293</v>
      </c>
      <c r="C220" s="5">
        <v>306071</v>
      </c>
      <c r="D220">
        <v>20</v>
      </c>
      <c r="E220">
        <v>0</v>
      </c>
      <c r="F220">
        <v>0</v>
      </c>
      <c r="G220">
        <v>0</v>
      </c>
      <c r="H220">
        <v>0</v>
      </c>
      <c r="I220" s="8">
        <v>1</v>
      </c>
      <c r="J220" t="s">
        <v>89</v>
      </c>
      <c r="K220" s="50" t="s">
        <v>242</v>
      </c>
      <c r="L220" s="51"/>
      <c r="M220" s="51"/>
      <c r="N220" s="51"/>
      <c r="O220" s="51"/>
      <c r="P220" s="51"/>
      <c r="Q220" s="51"/>
      <c r="R220" s="52"/>
      <c r="S220" s="11">
        <v>42293</v>
      </c>
      <c r="T220" t="s">
        <v>160</v>
      </c>
    </row>
    <row r="221" spans="1:20" ht="15.75" x14ac:dyDescent="0.25">
      <c r="A221" s="6" t="s">
        <v>50</v>
      </c>
      <c r="B221" s="10">
        <v>42293</v>
      </c>
      <c r="C221" s="5">
        <v>126767</v>
      </c>
      <c r="D221">
        <v>20</v>
      </c>
      <c r="E221">
        <v>0</v>
      </c>
      <c r="F221">
        <v>0</v>
      </c>
      <c r="G221">
        <v>0</v>
      </c>
      <c r="H221">
        <v>0</v>
      </c>
      <c r="I221" s="8">
        <v>1</v>
      </c>
      <c r="J221" t="s">
        <v>89</v>
      </c>
      <c r="K221" s="50" t="s">
        <v>242</v>
      </c>
      <c r="L221" s="51"/>
      <c r="M221" s="51"/>
      <c r="N221" s="51"/>
      <c r="O221" s="51"/>
      <c r="P221" s="51"/>
      <c r="Q221" s="51"/>
      <c r="R221" s="52"/>
      <c r="S221" s="11">
        <v>42293</v>
      </c>
      <c r="T221" t="s">
        <v>160</v>
      </c>
    </row>
    <row r="222" spans="1:20" ht="15.75" x14ac:dyDescent="0.25">
      <c r="A222" s="9" t="s">
        <v>225</v>
      </c>
      <c r="B222" s="12">
        <v>42293</v>
      </c>
      <c r="C222" s="42">
        <v>7165</v>
      </c>
      <c r="D222">
        <v>13</v>
      </c>
      <c r="E222">
        <v>0</v>
      </c>
      <c r="F222">
        <v>17</v>
      </c>
      <c r="G222">
        <v>0</v>
      </c>
      <c r="H222">
        <v>0</v>
      </c>
      <c r="I222" s="8">
        <v>1</v>
      </c>
      <c r="J222" t="s">
        <v>157</v>
      </c>
      <c r="K222" s="47" t="s">
        <v>283</v>
      </c>
      <c r="L222" s="48"/>
      <c r="M222" s="48"/>
      <c r="N222" s="48"/>
      <c r="O222" s="48"/>
      <c r="P222" s="48"/>
      <c r="Q222" s="48"/>
      <c r="R222" s="49"/>
      <c r="S222" s="11">
        <v>42293</v>
      </c>
      <c r="T222" t="s">
        <v>160</v>
      </c>
    </row>
    <row r="223" spans="1:20" ht="15.75" x14ac:dyDescent="0.25">
      <c r="A223" s="9" t="s">
        <v>225</v>
      </c>
      <c r="B223" s="12">
        <v>42293</v>
      </c>
      <c r="C223" s="42">
        <v>15708</v>
      </c>
      <c r="D223">
        <v>13</v>
      </c>
      <c r="E223">
        <v>0</v>
      </c>
      <c r="F223">
        <v>17</v>
      </c>
      <c r="G223">
        <v>0</v>
      </c>
      <c r="H223">
        <v>0</v>
      </c>
      <c r="I223" s="8">
        <v>1</v>
      </c>
      <c r="J223" t="s">
        <v>157</v>
      </c>
      <c r="K223" s="47" t="s">
        <v>283</v>
      </c>
      <c r="L223" s="48"/>
      <c r="M223" s="48"/>
      <c r="N223" s="48"/>
      <c r="O223" s="48"/>
      <c r="P223" s="48"/>
      <c r="Q223" s="48"/>
      <c r="R223" s="49"/>
      <c r="S223" s="11">
        <v>42293</v>
      </c>
      <c r="T223" t="s">
        <v>160</v>
      </c>
    </row>
    <row r="224" spans="1:20" ht="15.75" x14ac:dyDescent="0.25">
      <c r="A224" s="9" t="s">
        <v>280</v>
      </c>
      <c r="B224" s="12">
        <v>42293</v>
      </c>
      <c r="C224" s="42">
        <v>6830</v>
      </c>
      <c r="D224">
        <v>13</v>
      </c>
      <c r="E224">
        <v>0</v>
      </c>
      <c r="F224">
        <v>17</v>
      </c>
      <c r="G224">
        <v>0</v>
      </c>
      <c r="H224">
        <v>0</v>
      </c>
      <c r="I224" s="8">
        <v>1</v>
      </c>
      <c r="J224" t="s">
        <v>157</v>
      </c>
      <c r="K224" s="47" t="s">
        <v>219</v>
      </c>
      <c r="L224" s="48"/>
      <c r="M224" s="48"/>
      <c r="N224" s="48"/>
      <c r="O224" s="48"/>
      <c r="P224" s="48"/>
      <c r="Q224" s="48"/>
      <c r="R224" s="49"/>
      <c r="S224" s="11">
        <v>42293</v>
      </c>
      <c r="T224" t="s">
        <v>160</v>
      </c>
    </row>
    <row r="225" spans="1:20" ht="15.75" x14ac:dyDescent="0.25">
      <c r="A225" s="9" t="s">
        <v>280</v>
      </c>
      <c r="B225" s="12">
        <v>42293</v>
      </c>
      <c r="C225" s="42">
        <v>44724</v>
      </c>
      <c r="D225">
        <v>13</v>
      </c>
      <c r="E225">
        <v>0</v>
      </c>
      <c r="F225">
        <v>17</v>
      </c>
      <c r="G225">
        <v>0</v>
      </c>
      <c r="H225">
        <v>0</v>
      </c>
      <c r="I225" s="8">
        <v>1</v>
      </c>
      <c r="J225" t="s">
        <v>157</v>
      </c>
      <c r="K225" s="47" t="s">
        <v>219</v>
      </c>
      <c r="L225" s="48"/>
      <c r="M225" s="48"/>
      <c r="N225" s="48"/>
      <c r="O225" s="48"/>
      <c r="P225" s="48"/>
      <c r="Q225" s="48"/>
      <c r="R225" s="49"/>
      <c r="S225" s="11">
        <v>42293</v>
      </c>
      <c r="T225" t="s">
        <v>160</v>
      </c>
    </row>
    <row r="226" spans="1:20" ht="15.75" x14ac:dyDescent="0.25">
      <c r="A226" s="9" t="s">
        <v>281</v>
      </c>
      <c r="B226" s="12">
        <v>42293</v>
      </c>
      <c r="C226" s="42">
        <v>223630</v>
      </c>
      <c r="D226">
        <v>13</v>
      </c>
      <c r="E226">
        <v>0</v>
      </c>
      <c r="F226">
        <v>17</v>
      </c>
      <c r="G226">
        <v>0</v>
      </c>
      <c r="H226">
        <v>0</v>
      </c>
      <c r="I226" s="8">
        <v>1</v>
      </c>
      <c r="J226" t="s">
        <v>157</v>
      </c>
      <c r="K226" s="47" t="s">
        <v>219</v>
      </c>
      <c r="L226" s="48"/>
      <c r="M226" s="48"/>
      <c r="N226" s="48"/>
      <c r="O226" s="48"/>
      <c r="P226" s="48"/>
      <c r="Q226" s="48"/>
      <c r="R226" s="49"/>
      <c r="S226" s="11">
        <v>42293</v>
      </c>
      <c r="T226" t="s">
        <v>160</v>
      </c>
    </row>
    <row r="227" spans="1:20" ht="15.75" x14ac:dyDescent="0.25">
      <c r="A227" s="9" t="s">
        <v>281</v>
      </c>
      <c r="B227" s="12">
        <v>42293</v>
      </c>
      <c r="C227" s="42">
        <v>178291</v>
      </c>
      <c r="D227">
        <v>13</v>
      </c>
      <c r="E227">
        <v>0</v>
      </c>
      <c r="F227">
        <v>17</v>
      </c>
      <c r="G227">
        <v>0</v>
      </c>
      <c r="H227">
        <v>0</v>
      </c>
      <c r="I227" s="8">
        <v>1</v>
      </c>
      <c r="J227" t="s">
        <v>157</v>
      </c>
      <c r="K227" s="47" t="s">
        <v>219</v>
      </c>
      <c r="L227" s="48"/>
      <c r="M227" s="48"/>
      <c r="N227" s="48"/>
      <c r="O227" s="48"/>
      <c r="P227" s="48"/>
      <c r="Q227" s="48"/>
      <c r="R227" s="49"/>
      <c r="S227" s="11">
        <v>42293</v>
      </c>
      <c r="T227" t="s">
        <v>160</v>
      </c>
    </row>
    <row r="228" spans="1:20" ht="15.75" x14ac:dyDescent="0.25">
      <c r="A228" s="9" t="s">
        <v>52</v>
      </c>
      <c r="B228" s="12">
        <v>42293</v>
      </c>
      <c r="C228" s="42">
        <v>246286</v>
      </c>
      <c r="D228">
        <v>13</v>
      </c>
      <c r="E228">
        <v>0</v>
      </c>
      <c r="F228">
        <v>17</v>
      </c>
      <c r="G228">
        <v>0</v>
      </c>
      <c r="H228">
        <v>0</v>
      </c>
      <c r="I228" s="8">
        <v>1</v>
      </c>
      <c r="J228" t="s">
        <v>157</v>
      </c>
      <c r="K228" s="47" t="s">
        <v>242</v>
      </c>
      <c r="L228" s="48"/>
      <c r="M228" s="48"/>
      <c r="N228" s="48"/>
      <c r="O228" s="48"/>
      <c r="P228" s="48"/>
      <c r="Q228" s="48"/>
      <c r="R228" s="49"/>
      <c r="S228" s="11">
        <v>42293</v>
      </c>
      <c r="T228" t="s">
        <v>160</v>
      </c>
    </row>
    <row r="229" spans="1:20" ht="15.75" x14ac:dyDescent="0.25">
      <c r="A229" s="9" t="s">
        <v>52</v>
      </c>
      <c r="B229" s="12">
        <v>42293</v>
      </c>
      <c r="C229" s="42">
        <v>143067</v>
      </c>
      <c r="D229">
        <v>13</v>
      </c>
      <c r="E229">
        <v>0</v>
      </c>
      <c r="F229">
        <v>17</v>
      </c>
      <c r="G229">
        <v>0</v>
      </c>
      <c r="H229">
        <v>0</v>
      </c>
      <c r="I229" s="8">
        <v>1</v>
      </c>
      <c r="J229" t="s">
        <v>157</v>
      </c>
      <c r="K229" s="47" t="s">
        <v>242</v>
      </c>
      <c r="L229" s="48"/>
      <c r="M229" s="48"/>
      <c r="N229" s="48"/>
      <c r="O229" s="48"/>
      <c r="P229" s="48"/>
      <c r="Q229" s="48"/>
      <c r="R229" s="49"/>
      <c r="S229" s="11">
        <v>42293</v>
      </c>
      <c r="T229" t="s">
        <v>160</v>
      </c>
    </row>
    <row r="230" spans="1:20" ht="15.75" x14ac:dyDescent="0.25">
      <c r="A230" s="9" t="s">
        <v>165</v>
      </c>
      <c r="B230" s="12">
        <v>42293</v>
      </c>
      <c r="C230" s="42">
        <v>208783</v>
      </c>
      <c r="D230">
        <v>13</v>
      </c>
      <c r="E230">
        <v>0</v>
      </c>
      <c r="F230">
        <v>17</v>
      </c>
      <c r="G230">
        <v>0</v>
      </c>
      <c r="H230">
        <v>0</v>
      </c>
      <c r="I230" s="8">
        <v>1</v>
      </c>
      <c r="J230" t="s">
        <v>157</v>
      </c>
      <c r="K230" s="47" t="s">
        <v>283</v>
      </c>
      <c r="L230" s="48"/>
      <c r="M230" s="48"/>
      <c r="N230" s="48"/>
      <c r="O230" s="48"/>
      <c r="P230" s="48"/>
      <c r="Q230" s="48"/>
      <c r="R230" s="49"/>
      <c r="S230" s="11">
        <v>42293</v>
      </c>
      <c r="T230" t="s">
        <v>160</v>
      </c>
    </row>
    <row r="231" spans="1:20" ht="15.75" x14ac:dyDescent="0.25">
      <c r="A231" s="9" t="s">
        <v>165</v>
      </c>
      <c r="B231" s="12">
        <v>42293</v>
      </c>
      <c r="C231" s="42">
        <v>35302</v>
      </c>
      <c r="D231">
        <v>13</v>
      </c>
      <c r="E231">
        <v>0</v>
      </c>
      <c r="F231">
        <v>17</v>
      </c>
      <c r="G231">
        <v>0</v>
      </c>
      <c r="H231">
        <v>0</v>
      </c>
      <c r="I231" s="8">
        <v>1</v>
      </c>
      <c r="J231" t="s">
        <v>157</v>
      </c>
      <c r="K231" s="47" t="s">
        <v>283</v>
      </c>
      <c r="L231" s="48"/>
      <c r="M231" s="48"/>
      <c r="N231" s="48"/>
      <c r="O231" s="48"/>
      <c r="P231" s="48"/>
      <c r="Q231" s="48"/>
      <c r="R231" s="49"/>
      <c r="S231" s="11">
        <v>42293</v>
      </c>
      <c r="T231" t="s">
        <v>160</v>
      </c>
    </row>
    <row r="232" spans="1:20" ht="15.75" x14ac:dyDescent="0.25">
      <c r="A232" s="9" t="s">
        <v>53</v>
      </c>
      <c r="B232" s="12">
        <v>42293</v>
      </c>
      <c r="C232" s="42">
        <v>52768</v>
      </c>
      <c r="D232">
        <v>13</v>
      </c>
      <c r="E232">
        <v>0</v>
      </c>
      <c r="F232">
        <v>17</v>
      </c>
      <c r="G232">
        <v>0</v>
      </c>
      <c r="H232">
        <v>0</v>
      </c>
      <c r="I232" s="8">
        <v>1</v>
      </c>
      <c r="J232" t="s">
        <v>157</v>
      </c>
      <c r="K232" s="47" t="s">
        <v>286</v>
      </c>
      <c r="L232" s="48"/>
      <c r="M232" s="48"/>
      <c r="N232" s="48"/>
      <c r="O232" s="48"/>
      <c r="P232" s="48"/>
      <c r="Q232" s="48"/>
      <c r="R232" s="49"/>
      <c r="S232" s="11">
        <v>42293</v>
      </c>
      <c r="T232" t="s">
        <v>160</v>
      </c>
    </row>
    <row r="233" spans="1:20" s="28" customFormat="1" ht="16.5" thickBot="1" x14ac:dyDescent="0.3">
      <c r="A233" s="40" t="s">
        <v>53</v>
      </c>
      <c r="B233" s="33">
        <v>42293</v>
      </c>
      <c r="C233" s="44">
        <v>96026</v>
      </c>
      <c r="D233" s="28">
        <v>13</v>
      </c>
      <c r="E233" s="28">
        <v>0</v>
      </c>
      <c r="F233" s="28">
        <v>17</v>
      </c>
      <c r="G233" s="28">
        <v>0</v>
      </c>
      <c r="H233" s="28">
        <v>0</v>
      </c>
      <c r="I233" s="29">
        <v>1</v>
      </c>
      <c r="J233" s="28" t="s">
        <v>157</v>
      </c>
      <c r="K233" s="80" t="s">
        <v>283</v>
      </c>
      <c r="L233" s="81"/>
      <c r="M233" s="81"/>
      <c r="N233" s="81"/>
      <c r="O233" s="81"/>
      <c r="P233" s="81"/>
      <c r="Q233" s="81"/>
      <c r="R233" s="82"/>
      <c r="S233" s="30">
        <v>42293</v>
      </c>
      <c r="T233" s="28" t="s">
        <v>160</v>
      </c>
    </row>
  </sheetData>
  <sheetProtection algorithmName="SHA-512" hashValue="FEFzykm2hbrjfAM7J+e9f62dHcUFPgH133A/PZqAaJSFz7ak6uPXkSs6WkF/75UiD5A0CeyIsG6Fr1C3964+Cg==" saltValue="ETwD1V0S7/KjGftXolZ22g==" spinCount="100000" sheet="1" objects="1" scenarios="1"/>
  <protectedRanges>
    <protectedRange algorithmName="SHA-512" hashValue="KN9K/N9Vy2a/+M7gTFVeShZqVZwqH/p9o/xxbofFDUJS++s8WbsEpwjEmgBb3S7++MKqpkchjYEgEsf7DqINFw==" saltValue="XydoMLGCYOQMjJXzMZb6KA==" spinCount="100000" sqref="A1:T1" name="Range1_3_3"/>
  </protectedRanges>
  <mergeCells count="232">
    <mergeCell ref="K225:R225"/>
    <mergeCell ref="K226:R226"/>
    <mergeCell ref="K227:R227"/>
    <mergeCell ref="K228:R228"/>
    <mergeCell ref="K229:R229"/>
    <mergeCell ref="K230:R230"/>
    <mergeCell ref="K231:R231"/>
    <mergeCell ref="K232:R232"/>
    <mergeCell ref="K233:R233"/>
    <mergeCell ref="K216:R216"/>
    <mergeCell ref="K217:R217"/>
    <mergeCell ref="K218:R218"/>
    <mergeCell ref="K219:R219"/>
    <mergeCell ref="K220:R220"/>
    <mergeCell ref="K221:R221"/>
    <mergeCell ref="K222:R222"/>
    <mergeCell ref="K223:R223"/>
    <mergeCell ref="K224:R224"/>
    <mergeCell ref="K209:R209"/>
    <mergeCell ref="K210:R210"/>
    <mergeCell ref="K211:R211"/>
    <mergeCell ref="K212:R212"/>
    <mergeCell ref="K213:R213"/>
    <mergeCell ref="K214:R214"/>
    <mergeCell ref="K215:R215"/>
    <mergeCell ref="K200:R200"/>
    <mergeCell ref="K201:R201"/>
    <mergeCell ref="K202:R202"/>
    <mergeCell ref="K203:R203"/>
    <mergeCell ref="K204:R204"/>
    <mergeCell ref="K205:R205"/>
    <mergeCell ref="K206:R206"/>
    <mergeCell ref="K207:R207"/>
    <mergeCell ref="K208:R208"/>
    <mergeCell ref="K199:R199"/>
    <mergeCell ref="K190:R190"/>
    <mergeCell ref="K191:R191"/>
    <mergeCell ref="K192:R192"/>
    <mergeCell ref="K193:R193"/>
    <mergeCell ref="K194:R194"/>
    <mergeCell ref="K195:R195"/>
    <mergeCell ref="K196:R196"/>
    <mergeCell ref="K197:R197"/>
    <mergeCell ref="K198:R198"/>
    <mergeCell ref="K189:R189"/>
    <mergeCell ref="K180:R180"/>
    <mergeCell ref="K181:R181"/>
    <mergeCell ref="K182:R182"/>
    <mergeCell ref="K183:R183"/>
    <mergeCell ref="K184:R184"/>
    <mergeCell ref="K185:R185"/>
    <mergeCell ref="K186:R186"/>
    <mergeCell ref="K187:R187"/>
    <mergeCell ref="K188:R188"/>
    <mergeCell ref="K179:R179"/>
    <mergeCell ref="K170:R170"/>
    <mergeCell ref="K171:R171"/>
    <mergeCell ref="K172:R172"/>
    <mergeCell ref="K173:R173"/>
    <mergeCell ref="K174:R174"/>
    <mergeCell ref="K175:R175"/>
    <mergeCell ref="K176:R176"/>
    <mergeCell ref="K177:R177"/>
    <mergeCell ref="K178:R178"/>
    <mergeCell ref="K167:R167"/>
    <mergeCell ref="K168:R168"/>
    <mergeCell ref="K169:R169"/>
    <mergeCell ref="K160:R160"/>
    <mergeCell ref="K161:R161"/>
    <mergeCell ref="K162:R162"/>
    <mergeCell ref="K163:R163"/>
    <mergeCell ref="K164:R164"/>
    <mergeCell ref="K165:R165"/>
    <mergeCell ref="K166:R166"/>
    <mergeCell ref="K159:R159"/>
    <mergeCell ref="K150:R150"/>
    <mergeCell ref="K151:R151"/>
    <mergeCell ref="K152:R152"/>
    <mergeCell ref="K153:R153"/>
    <mergeCell ref="K154:R154"/>
    <mergeCell ref="K155:R155"/>
    <mergeCell ref="K156:R156"/>
    <mergeCell ref="K157:R157"/>
    <mergeCell ref="K158:R158"/>
    <mergeCell ref="K142:R142"/>
    <mergeCell ref="K143:R143"/>
    <mergeCell ref="K144:R144"/>
    <mergeCell ref="K145:R145"/>
    <mergeCell ref="K146:R146"/>
    <mergeCell ref="K147:R147"/>
    <mergeCell ref="K148:R148"/>
    <mergeCell ref="K149:R149"/>
    <mergeCell ref="K135:R135"/>
    <mergeCell ref="K136:R136"/>
    <mergeCell ref="K137:R137"/>
    <mergeCell ref="K138:R138"/>
    <mergeCell ref="K139:R139"/>
    <mergeCell ref="K140:R140"/>
    <mergeCell ref="K141:R141"/>
    <mergeCell ref="K134:R134"/>
    <mergeCell ref="K125:R125"/>
    <mergeCell ref="K126:R126"/>
    <mergeCell ref="K127:R127"/>
    <mergeCell ref="K128:R128"/>
    <mergeCell ref="K129:R129"/>
    <mergeCell ref="K130:R130"/>
    <mergeCell ref="K131:R131"/>
    <mergeCell ref="K132:R132"/>
    <mergeCell ref="K133:R133"/>
    <mergeCell ref="K116:R116"/>
    <mergeCell ref="K117:R117"/>
    <mergeCell ref="K118:R118"/>
    <mergeCell ref="K119:R119"/>
    <mergeCell ref="K120:R120"/>
    <mergeCell ref="K121:R121"/>
    <mergeCell ref="K122:R122"/>
    <mergeCell ref="K123:R123"/>
    <mergeCell ref="K107:R107"/>
    <mergeCell ref="K108:R108"/>
    <mergeCell ref="K109:R109"/>
    <mergeCell ref="K110:R110"/>
    <mergeCell ref="K111:R111"/>
    <mergeCell ref="K112:R112"/>
    <mergeCell ref="K113:R113"/>
    <mergeCell ref="K114:R114"/>
    <mergeCell ref="K115:R115"/>
    <mergeCell ref="K102:R102"/>
    <mergeCell ref="K103:R103"/>
    <mergeCell ref="K104:R104"/>
    <mergeCell ref="K105:R105"/>
    <mergeCell ref="K97:R97"/>
    <mergeCell ref="K98:R98"/>
    <mergeCell ref="K99:R99"/>
    <mergeCell ref="K100:R100"/>
    <mergeCell ref="K101:R101"/>
    <mergeCell ref="K65:R65"/>
    <mergeCell ref="K66:R66"/>
    <mergeCell ref="K67:R67"/>
    <mergeCell ref="K77:R77"/>
    <mergeCell ref="K78:R78"/>
    <mergeCell ref="K72:R72"/>
    <mergeCell ref="K73:R73"/>
    <mergeCell ref="K74:R74"/>
    <mergeCell ref="K75:R75"/>
    <mergeCell ref="K76:R76"/>
    <mergeCell ref="K91:R91"/>
    <mergeCell ref="K92:R92"/>
    <mergeCell ref="K86:R86"/>
    <mergeCell ref="K87:R87"/>
    <mergeCell ref="K88:R88"/>
    <mergeCell ref="K89:R89"/>
    <mergeCell ref="K90:R90"/>
    <mergeCell ref="K70:R70"/>
    <mergeCell ref="K71:R71"/>
    <mergeCell ref="K84:R84"/>
    <mergeCell ref="K85:R85"/>
    <mergeCell ref="K24:R24"/>
    <mergeCell ref="K19:R19"/>
    <mergeCell ref="K20:R20"/>
    <mergeCell ref="K21:R21"/>
    <mergeCell ref="K22:R22"/>
    <mergeCell ref="K23:R23"/>
    <mergeCell ref="K13:R13"/>
    <mergeCell ref="K8:R8"/>
    <mergeCell ref="K9:R9"/>
    <mergeCell ref="K10:R10"/>
    <mergeCell ref="K11:R11"/>
    <mergeCell ref="K12:R12"/>
    <mergeCell ref="K18:R18"/>
    <mergeCell ref="K6:R6"/>
    <mergeCell ref="K7:R7"/>
    <mergeCell ref="K1:R1"/>
    <mergeCell ref="K2:R2"/>
    <mergeCell ref="K3:R3"/>
    <mergeCell ref="K4:R4"/>
    <mergeCell ref="K5:R5"/>
    <mergeCell ref="K16:R16"/>
    <mergeCell ref="K17:R17"/>
    <mergeCell ref="K14:R14"/>
    <mergeCell ref="K15:R15"/>
    <mergeCell ref="K25:R25"/>
    <mergeCell ref="K26:R26"/>
    <mergeCell ref="K27:R27"/>
    <mergeCell ref="K28:R28"/>
    <mergeCell ref="K29:R29"/>
    <mergeCell ref="K32:R32"/>
    <mergeCell ref="K30:R30"/>
    <mergeCell ref="K31:R31"/>
    <mergeCell ref="K40:R40"/>
    <mergeCell ref="K35:R35"/>
    <mergeCell ref="K36:R36"/>
    <mergeCell ref="K37:R37"/>
    <mergeCell ref="K38:R38"/>
    <mergeCell ref="K39:R39"/>
    <mergeCell ref="K33:R33"/>
    <mergeCell ref="K34:R34"/>
    <mergeCell ref="K54:R54"/>
    <mergeCell ref="K42:R42"/>
    <mergeCell ref="K43:R43"/>
    <mergeCell ref="K50:R50"/>
    <mergeCell ref="K51:R51"/>
    <mergeCell ref="K52:R52"/>
    <mergeCell ref="K53:R53"/>
    <mergeCell ref="K45:R45"/>
    <mergeCell ref="K46:R46"/>
    <mergeCell ref="K47:R47"/>
    <mergeCell ref="K48:R48"/>
    <mergeCell ref="K49:R49"/>
    <mergeCell ref="K124:R124"/>
    <mergeCell ref="K93:R93"/>
    <mergeCell ref="K79:R79"/>
    <mergeCell ref="K80:R80"/>
    <mergeCell ref="K81:R81"/>
    <mergeCell ref="K82:R82"/>
    <mergeCell ref="K83:R83"/>
    <mergeCell ref="K106:R106"/>
    <mergeCell ref="K41:R41"/>
    <mergeCell ref="K55:R55"/>
    <mergeCell ref="K56:R56"/>
    <mergeCell ref="K57:R57"/>
    <mergeCell ref="K58:R58"/>
    <mergeCell ref="K59:R59"/>
    <mergeCell ref="K68:R68"/>
    <mergeCell ref="K69:R69"/>
    <mergeCell ref="K60:R60"/>
    <mergeCell ref="K61:R61"/>
    <mergeCell ref="K62:R62"/>
    <mergeCell ref="K63:R63"/>
    <mergeCell ref="K94:R94"/>
    <mergeCell ref="K95:R95"/>
    <mergeCell ref="K96:R96"/>
    <mergeCell ref="K64:R6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O222"/>
  <sheetViews>
    <sheetView tabSelected="1" zoomScale="70" zoomScaleNormal="70" workbookViewId="0">
      <selection activeCell="AC18" sqref="AC18"/>
    </sheetView>
  </sheetViews>
  <sheetFormatPr defaultRowHeight="14.25" x14ac:dyDescent="0.2"/>
  <cols>
    <col min="1" max="1" width="9.140625" style="86"/>
    <col min="2" max="2" width="5.7109375" style="86" customWidth="1"/>
    <col min="3" max="3" width="39.140625" style="87" customWidth="1"/>
    <col min="4" max="4" width="8.42578125" style="87" customWidth="1"/>
    <col min="5" max="5" width="15.28515625" style="87" customWidth="1"/>
    <col min="6" max="6" width="15.85546875" style="87" bestFit="1" customWidth="1"/>
    <col min="7" max="7" width="8.7109375" style="87" bestFit="1" customWidth="1"/>
    <col min="8" max="8" width="15.85546875" style="87" bestFit="1" customWidth="1"/>
    <col min="9" max="9" width="15" style="87" customWidth="1"/>
    <col min="10" max="10" width="8.7109375" style="87" bestFit="1" customWidth="1"/>
    <col min="11" max="11" width="15.140625" style="87" bestFit="1" customWidth="1"/>
    <col min="12" max="12" width="15.7109375" style="87" bestFit="1" customWidth="1"/>
    <col min="13" max="13" width="8.7109375" style="319" bestFit="1" customWidth="1"/>
    <col min="14" max="14" width="14" style="319" customWidth="1"/>
    <col min="15" max="15" width="15.140625" style="319" customWidth="1"/>
    <col min="16" max="16" width="15" style="319" customWidth="1"/>
    <col min="17" max="19" width="17.140625" style="319" customWidth="1"/>
    <col min="20" max="20" width="7.140625" style="319" customWidth="1"/>
    <col min="21" max="21" width="3.28515625" style="319" customWidth="1"/>
    <col min="22" max="22" width="3.42578125" style="319" customWidth="1"/>
    <col min="23" max="23" width="1.28515625" style="89" customWidth="1"/>
    <col min="24" max="24" width="5.85546875" style="89" bestFit="1" customWidth="1"/>
    <col min="25" max="25" width="6.7109375" style="89" bestFit="1" customWidth="1"/>
    <col min="26" max="27" width="4.42578125" style="89" bestFit="1" customWidth="1"/>
    <col min="28" max="28" width="12.7109375" style="320" customWidth="1"/>
    <col min="29" max="29" width="4.42578125" style="321" bestFit="1" customWidth="1"/>
    <col min="30" max="30" width="4.5703125" style="89" bestFit="1" customWidth="1"/>
    <col min="31" max="32" width="4.42578125" style="89" bestFit="1" customWidth="1"/>
    <col min="33" max="33" width="9.140625" style="89"/>
    <col min="34" max="41" width="9.140625" style="86"/>
    <col min="42" max="16384" width="9.140625" style="87"/>
  </cols>
  <sheetData>
    <row r="1" spans="2:34" s="86" customFormat="1" ht="15" thickBot="1" x14ac:dyDescent="0.25">
      <c r="M1" s="319"/>
      <c r="N1" s="319"/>
      <c r="O1" s="319"/>
      <c r="P1" s="319"/>
      <c r="Q1" s="319"/>
      <c r="R1" s="319"/>
      <c r="S1" s="319"/>
      <c r="T1" s="319"/>
      <c r="U1" s="319"/>
      <c r="V1" s="319"/>
      <c r="W1" s="89"/>
      <c r="X1" s="89"/>
      <c r="Y1" s="89"/>
      <c r="Z1" s="89"/>
      <c r="AA1" s="89"/>
      <c r="AB1" s="320"/>
      <c r="AC1" s="321"/>
      <c r="AD1" s="89"/>
      <c r="AE1" s="89"/>
      <c r="AF1" s="89"/>
      <c r="AG1" s="89"/>
    </row>
    <row r="2" spans="2:34" s="86" customFormat="1" ht="46.5" customHeight="1" x14ac:dyDescent="0.2">
      <c r="B2" s="90"/>
      <c r="C2" s="91"/>
      <c r="D2" s="91"/>
      <c r="E2" s="91"/>
      <c r="F2" s="91"/>
      <c r="G2" s="91"/>
      <c r="H2" s="91"/>
      <c r="I2" s="91"/>
      <c r="J2" s="91"/>
      <c r="K2" s="91"/>
      <c r="L2" s="91"/>
      <c r="M2" s="322"/>
      <c r="N2" s="322"/>
      <c r="O2" s="322"/>
      <c r="P2" s="322"/>
      <c r="Q2" s="322"/>
      <c r="R2" s="322"/>
      <c r="S2" s="322"/>
      <c r="T2" s="322"/>
      <c r="U2" s="322"/>
      <c r="V2" s="322"/>
      <c r="W2" s="323"/>
      <c r="X2" s="89"/>
      <c r="Y2" s="89"/>
      <c r="Z2" s="89"/>
      <c r="AA2" s="89"/>
      <c r="AB2" s="320"/>
      <c r="AC2" s="321"/>
      <c r="AD2" s="89"/>
      <c r="AE2" s="89"/>
      <c r="AF2" s="89"/>
      <c r="AG2" s="89"/>
    </row>
    <row r="3" spans="2:34" s="86" customFormat="1" ht="19.5" x14ac:dyDescent="0.2">
      <c r="B3" s="324"/>
      <c r="C3" s="325"/>
      <c r="D3" s="325"/>
      <c r="E3" s="325"/>
      <c r="F3" s="325"/>
      <c r="G3" s="325"/>
      <c r="H3" s="326" t="s">
        <v>288</v>
      </c>
      <c r="I3" s="326"/>
      <c r="J3" s="326"/>
      <c r="K3" s="326"/>
      <c r="L3" s="326"/>
      <c r="M3" s="325"/>
      <c r="N3" s="325"/>
      <c r="O3" s="325"/>
      <c r="P3" s="325"/>
      <c r="Q3" s="325"/>
      <c r="R3" s="325"/>
      <c r="S3" s="325"/>
      <c r="T3" s="325"/>
      <c r="U3" s="325"/>
      <c r="V3" s="325"/>
      <c r="W3" s="327"/>
      <c r="X3" s="89"/>
      <c r="Y3" s="89"/>
      <c r="Z3" s="89"/>
      <c r="AA3" s="89"/>
      <c r="AB3" s="320"/>
      <c r="AC3" s="321"/>
      <c r="AD3" s="89"/>
      <c r="AE3" s="89"/>
      <c r="AF3" s="89"/>
      <c r="AG3" s="89"/>
    </row>
    <row r="4" spans="2:34" s="86" customFormat="1" ht="9.75" customHeight="1" thickBot="1" x14ac:dyDescent="0.25">
      <c r="B4" s="324"/>
      <c r="C4" s="325"/>
      <c r="D4" s="325"/>
      <c r="E4" s="325"/>
      <c r="F4" s="325"/>
      <c r="G4" s="325"/>
      <c r="H4" s="328"/>
      <c r="I4" s="328"/>
      <c r="J4" s="328"/>
      <c r="K4" s="328"/>
      <c r="L4" s="328"/>
      <c r="M4" s="325"/>
      <c r="N4" s="325"/>
      <c r="O4" s="325"/>
      <c r="P4" s="325"/>
      <c r="Q4" s="325"/>
      <c r="R4" s="325"/>
      <c r="S4" s="325"/>
      <c r="T4" s="325"/>
      <c r="U4" s="325"/>
      <c r="V4" s="325"/>
      <c r="W4" s="327"/>
      <c r="X4" s="89"/>
      <c r="Y4" s="89"/>
      <c r="Z4" s="89"/>
      <c r="AA4" s="89"/>
      <c r="AB4" s="320"/>
      <c r="AC4" s="321"/>
      <c r="AD4" s="89"/>
      <c r="AE4" s="89"/>
      <c r="AF4" s="89"/>
      <c r="AG4" s="89"/>
    </row>
    <row r="5" spans="2:34" s="86" customFormat="1" ht="19.5" x14ac:dyDescent="0.2">
      <c r="B5" s="324"/>
      <c r="C5" s="329" t="s">
        <v>32</v>
      </c>
      <c r="D5" s="330" t="s">
        <v>289</v>
      </c>
      <c r="E5" s="331"/>
      <c r="F5" s="332"/>
      <c r="G5" s="325"/>
      <c r="H5" s="328"/>
      <c r="I5" s="328"/>
      <c r="J5" s="328"/>
      <c r="K5" s="328"/>
      <c r="L5" s="328"/>
      <c r="M5" s="325"/>
      <c r="N5" s="325"/>
      <c r="O5" s="325"/>
      <c r="P5" s="325"/>
      <c r="Q5" s="325"/>
      <c r="R5" s="325"/>
      <c r="S5" s="325"/>
      <c r="T5" s="325"/>
      <c r="U5" s="325"/>
      <c r="V5" s="325"/>
      <c r="W5" s="327"/>
      <c r="X5" s="89"/>
      <c r="Y5" s="89"/>
      <c r="Z5" s="89"/>
      <c r="AA5" s="89"/>
      <c r="AB5" s="320"/>
      <c r="AC5" s="321"/>
      <c r="AD5" s="89"/>
      <c r="AE5" s="89"/>
      <c r="AF5" s="89"/>
      <c r="AG5" s="89"/>
    </row>
    <row r="6" spans="2:34" s="86" customFormat="1" ht="19.5" x14ac:dyDescent="0.2">
      <c r="B6" s="324"/>
      <c r="C6" s="329" t="s">
        <v>33</v>
      </c>
      <c r="D6" s="333" t="s">
        <v>290</v>
      </c>
      <c r="E6" s="334"/>
      <c r="F6" s="335"/>
      <c r="G6" s="325"/>
      <c r="H6" s="328"/>
      <c r="I6" s="328"/>
      <c r="J6" s="328"/>
      <c r="K6" s="328"/>
      <c r="L6" s="328"/>
      <c r="M6" s="325"/>
      <c r="N6" s="325"/>
      <c r="O6" s="325"/>
      <c r="P6" s="325"/>
      <c r="Q6" s="325"/>
      <c r="R6" s="325"/>
      <c r="S6" s="325"/>
      <c r="T6" s="325"/>
      <c r="U6" s="325"/>
      <c r="V6" s="325"/>
      <c r="W6" s="327"/>
      <c r="X6" s="89"/>
      <c r="Y6" s="89"/>
      <c r="Z6" s="89"/>
      <c r="AA6" s="89"/>
      <c r="AB6" s="320"/>
      <c r="AC6" s="321"/>
      <c r="AD6" s="89"/>
      <c r="AE6" s="89"/>
      <c r="AF6" s="89"/>
      <c r="AG6" s="89"/>
    </row>
    <row r="7" spans="2:34" s="86" customFormat="1" ht="19.5" x14ac:dyDescent="0.2">
      <c r="B7" s="324"/>
      <c r="C7" s="329" t="s">
        <v>34</v>
      </c>
      <c r="D7" s="336" t="s">
        <v>291</v>
      </c>
      <c r="E7" s="337"/>
      <c r="F7" s="338"/>
      <c r="G7" s="325"/>
      <c r="H7" s="328"/>
      <c r="I7" s="328"/>
      <c r="J7" s="328"/>
      <c r="K7" s="328"/>
      <c r="L7" s="328"/>
      <c r="M7" s="325"/>
      <c r="N7" s="325"/>
      <c r="O7" s="325"/>
      <c r="P7" s="325"/>
      <c r="Q7" s="325"/>
      <c r="R7" s="325"/>
      <c r="S7" s="325"/>
      <c r="T7" s="325"/>
      <c r="U7" s="325"/>
      <c r="V7" s="325"/>
      <c r="W7" s="327"/>
      <c r="X7" s="89"/>
      <c r="Y7" s="89"/>
      <c r="Z7" s="89"/>
      <c r="AA7" s="89"/>
      <c r="AB7" s="320"/>
      <c r="AC7" s="321"/>
      <c r="AD7" s="89"/>
      <c r="AE7" s="89"/>
      <c r="AF7" s="89"/>
      <c r="AG7" s="89"/>
    </row>
    <row r="8" spans="2:34" s="86" customFormat="1" ht="21" customHeight="1" thickBot="1" x14ac:dyDescent="0.3">
      <c r="B8" s="93"/>
      <c r="C8" s="329" t="s">
        <v>35</v>
      </c>
      <c r="D8" s="339" t="s">
        <v>292</v>
      </c>
      <c r="E8" s="340"/>
      <c r="F8" s="341"/>
      <c r="G8" s="342"/>
      <c r="H8" s="342"/>
      <c r="I8" s="342"/>
      <c r="J8" s="342"/>
      <c r="K8" s="342"/>
      <c r="L8" s="342"/>
      <c r="M8" s="342"/>
      <c r="N8" s="342"/>
      <c r="O8" s="342"/>
      <c r="P8" s="342"/>
      <c r="Q8" s="342"/>
      <c r="R8" s="342"/>
      <c r="S8" s="342"/>
      <c r="T8" s="342"/>
      <c r="U8" s="342"/>
      <c r="V8" s="342"/>
      <c r="W8" s="343"/>
      <c r="X8" s="89"/>
      <c r="Y8" s="89"/>
      <c r="Z8" s="89"/>
      <c r="AA8" s="89"/>
      <c r="AB8" s="320"/>
      <c r="AC8" s="321"/>
      <c r="AD8" s="89"/>
      <c r="AE8" s="89"/>
      <c r="AF8" s="89"/>
      <c r="AG8" s="89"/>
    </row>
    <row r="9" spans="2:34" s="86" customFormat="1" ht="21" customHeight="1" thickBot="1" x14ac:dyDescent="0.3">
      <c r="B9" s="93"/>
      <c r="C9" s="344"/>
      <c r="D9" s="345"/>
      <c r="E9" s="345"/>
      <c r="F9" s="345"/>
      <c r="G9" s="342"/>
      <c r="H9" s="342"/>
      <c r="I9" s="342"/>
      <c r="J9" s="342"/>
      <c r="K9" s="342"/>
      <c r="L9" s="342"/>
      <c r="M9" s="342"/>
      <c r="N9" s="342"/>
      <c r="O9" s="342"/>
      <c r="P9" s="342"/>
      <c r="Q9" s="342"/>
      <c r="R9" s="342"/>
      <c r="S9" s="342"/>
      <c r="T9" s="342"/>
      <c r="U9" s="346"/>
      <c r="V9" s="346"/>
      <c r="W9" s="343"/>
      <c r="X9" s="89"/>
      <c r="Y9" s="89"/>
      <c r="Z9" s="89"/>
      <c r="AA9" s="89"/>
      <c r="AB9" s="320"/>
      <c r="AC9" s="321"/>
      <c r="AD9" s="89"/>
      <c r="AE9" s="89"/>
      <c r="AF9" s="89"/>
      <c r="AG9" s="89"/>
    </row>
    <row r="10" spans="2:34" s="86" customFormat="1" ht="27.75" customHeight="1" thickBot="1" x14ac:dyDescent="0.25">
      <c r="B10" s="93"/>
      <c r="C10" s="347" t="s">
        <v>176</v>
      </c>
      <c r="D10" s="348"/>
      <c r="E10" s="348"/>
      <c r="F10" s="348"/>
      <c r="G10" s="348"/>
      <c r="H10" s="349"/>
      <c r="I10" s="350" t="s">
        <v>54</v>
      </c>
      <c r="J10" s="348"/>
      <c r="K10" s="348"/>
      <c r="L10" s="348"/>
      <c r="M10" s="351"/>
      <c r="N10" s="351"/>
      <c r="O10" s="352"/>
      <c r="P10" s="353"/>
      <c r="Q10" s="353"/>
      <c r="R10" s="353"/>
      <c r="S10" s="353"/>
      <c r="T10" s="354"/>
      <c r="U10" s="354"/>
      <c r="V10" s="354"/>
      <c r="W10" s="355"/>
      <c r="X10" s="354"/>
      <c r="Y10" s="354"/>
      <c r="Z10" s="354"/>
      <c r="AA10" s="354"/>
      <c r="AB10" s="354"/>
      <c r="AC10" s="354"/>
      <c r="AD10" s="354"/>
      <c r="AE10" s="354"/>
      <c r="AF10" s="354"/>
      <c r="AG10" s="89"/>
      <c r="AH10" s="286"/>
    </row>
    <row r="11" spans="2:34" s="86" customFormat="1" ht="15" customHeight="1" x14ac:dyDescent="0.2">
      <c r="B11" s="93"/>
      <c r="C11" s="356" t="s">
        <v>6</v>
      </c>
      <c r="D11" s="357" t="s">
        <v>32</v>
      </c>
      <c r="E11" s="358"/>
      <c r="F11" s="359"/>
      <c r="G11" s="360" t="s">
        <v>33</v>
      </c>
      <c r="H11" s="358"/>
      <c r="I11" s="361"/>
      <c r="J11" s="360" t="s">
        <v>34</v>
      </c>
      <c r="K11" s="358"/>
      <c r="L11" s="359"/>
      <c r="M11" s="360" t="s">
        <v>35</v>
      </c>
      <c r="N11" s="358"/>
      <c r="O11" s="359"/>
      <c r="P11" s="362"/>
      <c r="Q11" s="362"/>
      <c r="R11" s="362"/>
      <c r="S11" s="362"/>
      <c r="T11" s="363"/>
      <c r="U11" s="363"/>
      <c r="V11" s="363"/>
      <c r="W11" s="364"/>
      <c r="X11" s="365" t="s">
        <v>36</v>
      </c>
      <c r="Y11" s="365"/>
      <c r="Z11" s="365"/>
      <c r="AA11" s="365"/>
      <c r="AB11" s="363"/>
      <c r="AC11" s="366" t="s">
        <v>27</v>
      </c>
      <c r="AD11" s="366"/>
      <c r="AE11" s="366"/>
      <c r="AF11" s="366"/>
      <c r="AG11" s="89"/>
      <c r="AH11" s="286"/>
    </row>
    <row r="12" spans="2:34" s="86" customFormat="1" ht="14.25" customHeight="1" x14ac:dyDescent="0.2">
      <c r="B12" s="93"/>
      <c r="C12" s="367"/>
      <c r="D12" s="368" t="s">
        <v>37</v>
      </c>
      <c r="E12" s="369" t="s">
        <v>36</v>
      </c>
      <c r="F12" s="370" t="s">
        <v>27</v>
      </c>
      <c r="G12" s="371" t="s">
        <v>37</v>
      </c>
      <c r="H12" s="369" t="s">
        <v>36</v>
      </c>
      <c r="I12" s="372" t="s">
        <v>27</v>
      </c>
      <c r="J12" s="371" t="s">
        <v>37</v>
      </c>
      <c r="K12" s="369" t="s">
        <v>36</v>
      </c>
      <c r="L12" s="370" t="s">
        <v>27</v>
      </c>
      <c r="M12" s="371" t="s">
        <v>37</v>
      </c>
      <c r="N12" s="369" t="s">
        <v>36</v>
      </c>
      <c r="O12" s="370" t="s">
        <v>27</v>
      </c>
      <c r="P12" s="373"/>
      <c r="Q12" s="373"/>
      <c r="R12" s="373"/>
      <c r="S12" s="373"/>
      <c r="T12" s="374"/>
      <c r="U12" s="374"/>
      <c r="V12" s="374"/>
      <c r="W12" s="375"/>
      <c r="X12" s="376" t="s">
        <v>38</v>
      </c>
      <c r="Y12" s="376" t="s">
        <v>39</v>
      </c>
      <c r="Z12" s="376" t="s">
        <v>40</v>
      </c>
      <c r="AA12" s="377" t="s">
        <v>41</v>
      </c>
      <c r="AB12" s="374"/>
      <c r="AC12" s="378" t="s">
        <v>42</v>
      </c>
      <c r="AD12" s="378" t="s">
        <v>39</v>
      </c>
      <c r="AE12" s="378" t="s">
        <v>40</v>
      </c>
      <c r="AF12" s="378" t="s">
        <v>41</v>
      </c>
      <c r="AG12" s="89"/>
      <c r="AH12" s="286"/>
    </row>
    <row r="13" spans="2:34" s="86" customFormat="1" ht="15" x14ac:dyDescent="0.2">
      <c r="B13" s="93"/>
      <c r="C13" s="379" t="s">
        <v>50</v>
      </c>
      <c r="D13" s="380">
        <v>0</v>
      </c>
      <c r="E13" s="381">
        <v>0</v>
      </c>
      <c r="F13" s="382"/>
      <c r="G13" s="383">
        <v>2</v>
      </c>
      <c r="H13" s="384">
        <v>0</v>
      </c>
      <c r="I13" s="382">
        <v>0</v>
      </c>
      <c r="J13" s="383"/>
      <c r="K13" s="384"/>
      <c r="L13" s="385"/>
      <c r="M13" s="383"/>
      <c r="N13" s="384"/>
      <c r="O13" s="385"/>
      <c r="P13" s="386"/>
      <c r="Q13" s="386"/>
      <c r="R13" s="386"/>
      <c r="S13" s="386"/>
      <c r="T13" s="387"/>
      <c r="U13" s="387"/>
      <c r="V13" s="387"/>
      <c r="W13" s="388"/>
      <c r="X13" s="389">
        <f t="shared" ref="X13:X16" si="0">IF(E13&gt;1,1,IF(E13=1,0.5,0))</f>
        <v>0</v>
      </c>
      <c r="Y13" s="389">
        <f>IF(H13&gt;1,1,IF(H13=1,0.5,0))</f>
        <v>0</v>
      </c>
      <c r="Z13" s="389">
        <f>IF(K13&gt;1,1,IF(K13=1,0.5,0))</f>
        <v>0</v>
      </c>
      <c r="AA13" s="389">
        <f>IF(K13&gt;1,1,IF(K13=1,0.5,0))</f>
        <v>0</v>
      </c>
      <c r="AB13" s="390"/>
      <c r="AC13" s="391">
        <f t="shared" ref="AC13:AC26" si="1">IF(F13&gt;94%,1,IF(AND(F13&gt;84%,F13&lt;95%),0.5,0))</f>
        <v>0</v>
      </c>
      <c r="AD13" s="392">
        <f>IF(I13&gt;94%,1,IF(AND(I13&gt;84%,I13&lt;95%),0.5,0))</f>
        <v>0</v>
      </c>
      <c r="AE13" s="392">
        <f>IF(L13&gt;94%,1,IF(AND(L13&gt;84%,L13&lt;95%),0.5,0))</f>
        <v>0</v>
      </c>
      <c r="AF13" s="392">
        <f>IF(O13&gt;94%,1,IF(AND(O13&gt;84%,O13&lt;95%),0.5,0))</f>
        <v>0</v>
      </c>
      <c r="AG13" s="89"/>
      <c r="AH13" s="286"/>
    </row>
    <row r="14" spans="2:34" s="86" customFormat="1" ht="15" x14ac:dyDescent="0.2">
      <c r="B14" s="93"/>
      <c r="C14" s="393" t="s">
        <v>51</v>
      </c>
      <c r="D14" s="380">
        <v>0</v>
      </c>
      <c r="E14" s="381">
        <v>0</v>
      </c>
      <c r="F14" s="382"/>
      <c r="G14" s="383">
        <v>2</v>
      </c>
      <c r="H14" s="384">
        <v>0</v>
      </c>
      <c r="I14" s="382">
        <v>0</v>
      </c>
      <c r="J14" s="383"/>
      <c r="K14" s="384"/>
      <c r="L14" s="385"/>
      <c r="M14" s="394"/>
      <c r="N14" s="384"/>
      <c r="O14" s="395"/>
      <c r="P14" s="386"/>
      <c r="Q14" s="386"/>
      <c r="R14" s="386"/>
      <c r="S14" s="386"/>
      <c r="T14" s="387"/>
      <c r="U14" s="387"/>
      <c r="V14" s="387"/>
      <c r="W14" s="388"/>
      <c r="X14" s="389">
        <f t="shared" si="0"/>
        <v>0</v>
      </c>
      <c r="Y14" s="389">
        <f t="shared" ref="Y14:Y26" si="2">IF(H14&gt;1,1,IF(H14=1,0.5,0))</f>
        <v>0</v>
      </c>
      <c r="Z14" s="389">
        <f t="shared" ref="Z14:Z26" si="3">IF(K14&gt;1,1,IF(K14=1,0.5,0))</f>
        <v>0</v>
      </c>
      <c r="AA14" s="389">
        <f t="shared" ref="AA14:AA26" si="4">IF(K14&gt;1,1,IF(K14=1,0.5,0))</f>
        <v>0</v>
      </c>
      <c r="AB14" s="390"/>
      <c r="AC14" s="396">
        <f t="shared" si="1"/>
        <v>0</v>
      </c>
      <c r="AD14" s="392">
        <f t="shared" ref="AD14:AD26" si="5">IF(I14&gt;94%,1,IF(AND(I14&gt;84%,I14&lt;95%),0.5,0))</f>
        <v>0</v>
      </c>
      <c r="AE14" s="392">
        <f t="shared" ref="AE14:AE26" si="6">IF(L14&gt;94%,1,IF(AND(L14&gt;84%,L14&lt;95%),0.5,0))</f>
        <v>0</v>
      </c>
      <c r="AF14" s="392">
        <f>IF(O14&gt;94%,1,IF(AND(O14&gt;84%,O14&lt;95%),0.5,0))</f>
        <v>0</v>
      </c>
      <c r="AG14" s="89"/>
      <c r="AH14" s="286"/>
    </row>
    <row r="15" spans="2:34" s="86" customFormat="1" ht="15" x14ac:dyDescent="0.2">
      <c r="B15" s="93"/>
      <c r="C15" s="393" t="s">
        <v>53</v>
      </c>
      <c r="D15" s="380">
        <v>0</v>
      </c>
      <c r="E15" s="381">
        <v>0</v>
      </c>
      <c r="F15" s="382"/>
      <c r="G15" s="383">
        <v>2</v>
      </c>
      <c r="H15" s="384">
        <v>0</v>
      </c>
      <c r="I15" s="382">
        <v>0</v>
      </c>
      <c r="J15" s="383"/>
      <c r="K15" s="384"/>
      <c r="L15" s="385"/>
      <c r="M15" s="394"/>
      <c r="N15" s="384"/>
      <c r="O15" s="395"/>
      <c r="P15" s="386"/>
      <c r="Q15" s="386"/>
      <c r="R15" s="386"/>
      <c r="S15" s="386"/>
      <c r="T15" s="387"/>
      <c r="U15" s="387"/>
      <c r="V15" s="387"/>
      <c r="W15" s="388"/>
      <c r="X15" s="389">
        <f t="shared" si="0"/>
        <v>0</v>
      </c>
      <c r="Y15" s="389">
        <f>IF(H15&gt;1,1,IF(H15=1,0.5,0))</f>
        <v>0</v>
      </c>
      <c r="Z15" s="389">
        <f t="shared" si="3"/>
        <v>0</v>
      </c>
      <c r="AA15" s="389">
        <f t="shared" si="4"/>
        <v>0</v>
      </c>
      <c r="AB15" s="390"/>
      <c r="AC15" s="396">
        <f t="shared" si="1"/>
        <v>0</v>
      </c>
      <c r="AD15" s="392">
        <f t="shared" si="5"/>
        <v>0</v>
      </c>
      <c r="AE15" s="392">
        <f t="shared" si="6"/>
        <v>0</v>
      </c>
      <c r="AF15" s="392">
        <f t="shared" ref="AF15:AF26" si="7">IF(O15&gt;94%,1,IF(AND(O15&gt;84%,O15&lt;95%),0.5,0))</f>
        <v>0</v>
      </c>
      <c r="AG15" s="89"/>
      <c r="AH15" s="286"/>
    </row>
    <row r="16" spans="2:34" s="86" customFormat="1" ht="15" x14ac:dyDescent="0.2">
      <c r="B16" s="93"/>
      <c r="C16" s="397" t="s">
        <v>225</v>
      </c>
      <c r="D16" s="380">
        <v>0</v>
      </c>
      <c r="E16" s="381">
        <v>0</v>
      </c>
      <c r="F16" s="398"/>
      <c r="G16" s="399">
        <v>2</v>
      </c>
      <c r="H16" s="400">
        <v>0</v>
      </c>
      <c r="I16" s="398">
        <v>0</v>
      </c>
      <c r="J16" s="383"/>
      <c r="K16" s="401"/>
      <c r="L16" s="385"/>
      <c r="M16" s="394"/>
      <c r="N16" s="384"/>
      <c r="O16" s="395"/>
      <c r="P16" s="386"/>
      <c r="Q16" s="386"/>
      <c r="R16" s="386"/>
      <c r="S16" s="386"/>
      <c r="T16" s="387"/>
      <c r="U16" s="387"/>
      <c r="V16" s="387"/>
      <c r="W16" s="388"/>
      <c r="X16" s="389">
        <f t="shared" si="0"/>
        <v>0</v>
      </c>
      <c r="Y16" s="389">
        <f t="shared" si="2"/>
        <v>0</v>
      </c>
      <c r="Z16" s="389">
        <f t="shared" si="3"/>
        <v>0</v>
      </c>
      <c r="AA16" s="389">
        <f t="shared" si="4"/>
        <v>0</v>
      </c>
      <c r="AB16" s="390"/>
      <c r="AC16" s="396">
        <f t="shared" si="1"/>
        <v>0</v>
      </c>
      <c r="AD16" s="392">
        <f t="shared" si="5"/>
        <v>0</v>
      </c>
      <c r="AE16" s="392">
        <f t="shared" si="6"/>
        <v>0</v>
      </c>
      <c r="AF16" s="392">
        <f t="shared" si="7"/>
        <v>0</v>
      </c>
      <c r="AG16" s="89"/>
      <c r="AH16" s="286"/>
    </row>
    <row r="17" spans="1:41" ht="15" x14ac:dyDescent="0.2">
      <c r="B17" s="93"/>
      <c r="C17" s="397" t="s">
        <v>280</v>
      </c>
      <c r="D17" s="380">
        <v>0</v>
      </c>
      <c r="E17" s="381">
        <v>0</v>
      </c>
      <c r="F17" s="398"/>
      <c r="G17" s="394">
        <v>2</v>
      </c>
      <c r="H17" s="402">
        <v>0</v>
      </c>
      <c r="I17" s="395">
        <v>0</v>
      </c>
      <c r="J17" s="383"/>
      <c r="K17" s="402"/>
      <c r="L17" s="385"/>
      <c r="M17" s="394"/>
      <c r="N17" s="401"/>
      <c r="O17" s="395"/>
      <c r="P17" s="386"/>
      <c r="Q17" s="386"/>
      <c r="R17" s="386"/>
      <c r="S17" s="386"/>
      <c r="T17" s="387"/>
      <c r="U17" s="387"/>
      <c r="V17" s="387"/>
      <c r="W17" s="388"/>
      <c r="X17" s="389">
        <f>IF(E17&gt;1,1,IF(E17=1,0.5,0))</f>
        <v>0</v>
      </c>
      <c r="Y17" s="389">
        <f t="shared" si="2"/>
        <v>0</v>
      </c>
      <c r="Z17" s="389">
        <f t="shared" si="3"/>
        <v>0</v>
      </c>
      <c r="AA17" s="389">
        <f t="shared" si="4"/>
        <v>0</v>
      </c>
      <c r="AB17" s="390"/>
      <c r="AC17" s="396">
        <f t="shared" si="1"/>
        <v>0</v>
      </c>
      <c r="AD17" s="392">
        <f t="shared" si="5"/>
        <v>0</v>
      </c>
      <c r="AE17" s="392">
        <f t="shared" si="6"/>
        <v>0</v>
      </c>
      <c r="AF17" s="392">
        <f t="shared" si="7"/>
        <v>0</v>
      </c>
      <c r="AH17" s="286"/>
    </row>
    <row r="18" spans="1:41" ht="15" x14ac:dyDescent="0.2">
      <c r="B18" s="93"/>
      <c r="C18" s="397" t="s">
        <v>282</v>
      </c>
      <c r="D18" s="380">
        <v>0</v>
      </c>
      <c r="E18" s="381">
        <v>0</v>
      </c>
      <c r="F18" s="398"/>
      <c r="G18" s="403">
        <v>2</v>
      </c>
      <c r="H18" s="402">
        <v>0</v>
      </c>
      <c r="I18" s="398">
        <v>0</v>
      </c>
      <c r="J18" s="383"/>
      <c r="K18" s="402"/>
      <c r="L18" s="385"/>
      <c r="M18" s="399"/>
      <c r="N18" s="402"/>
      <c r="O18" s="398"/>
      <c r="P18" s="386"/>
      <c r="Q18" s="386"/>
      <c r="R18" s="386"/>
      <c r="S18" s="386"/>
      <c r="T18" s="387"/>
      <c r="U18" s="387"/>
      <c r="V18" s="387"/>
      <c r="W18" s="388"/>
      <c r="X18" s="389">
        <f t="shared" ref="X18:X26" si="8">IF(E18&gt;1,1,IF(E18=1,0.5,0))</f>
        <v>0</v>
      </c>
      <c r="Y18" s="389">
        <f t="shared" si="2"/>
        <v>0</v>
      </c>
      <c r="Z18" s="389">
        <f t="shared" si="3"/>
        <v>0</v>
      </c>
      <c r="AA18" s="389">
        <f t="shared" si="4"/>
        <v>0</v>
      </c>
      <c r="AB18" s="390"/>
      <c r="AC18" s="396">
        <f t="shared" si="1"/>
        <v>0</v>
      </c>
      <c r="AD18" s="392">
        <f t="shared" si="5"/>
        <v>0</v>
      </c>
      <c r="AE18" s="392">
        <f t="shared" si="6"/>
        <v>0</v>
      </c>
      <c r="AF18" s="392">
        <f t="shared" si="7"/>
        <v>0</v>
      </c>
      <c r="AH18" s="286"/>
    </row>
    <row r="19" spans="1:41" ht="15" x14ac:dyDescent="0.2">
      <c r="B19" s="93"/>
      <c r="C19" s="397" t="s">
        <v>281</v>
      </c>
      <c r="D19" s="380">
        <v>0</v>
      </c>
      <c r="E19" s="381">
        <v>0</v>
      </c>
      <c r="F19" s="404"/>
      <c r="G19" s="399">
        <v>2</v>
      </c>
      <c r="H19" s="402">
        <v>0</v>
      </c>
      <c r="I19" s="405">
        <v>0</v>
      </c>
      <c r="J19" s="383"/>
      <c r="K19" s="406"/>
      <c r="L19" s="385"/>
      <c r="M19" s="399"/>
      <c r="N19" s="402"/>
      <c r="O19" s="398"/>
      <c r="P19" s="386"/>
      <c r="Q19" s="386"/>
      <c r="R19" s="386"/>
      <c r="S19" s="386"/>
      <c r="T19" s="387"/>
      <c r="U19" s="387"/>
      <c r="V19" s="387"/>
      <c r="W19" s="388"/>
      <c r="X19" s="389">
        <f t="shared" si="8"/>
        <v>0</v>
      </c>
      <c r="Y19" s="389">
        <f t="shared" si="2"/>
        <v>0</v>
      </c>
      <c r="Z19" s="389">
        <f t="shared" si="3"/>
        <v>0</v>
      </c>
      <c r="AA19" s="389">
        <f t="shared" si="4"/>
        <v>0</v>
      </c>
      <c r="AB19" s="390"/>
      <c r="AC19" s="396">
        <f t="shared" si="1"/>
        <v>0</v>
      </c>
      <c r="AD19" s="392">
        <f t="shared" si="5"/>
        <v>0</v>
      </c>
      <c r="AE19" s="392">
        <f t="shared" si="6"/>
        <v>0</v>
      </c>
      <c r="AF19" s="392">
        <f t="shared" si="7"/>
        <v>0</v>
      </c>
      <c r="AH19" s="286"/>
    </row>
    <row r="20" spans="1:41" ht="15" x14ac:dyDescent="0.2">
      <c r="B20" s="93"/>
      <c r="C20" s="393" t="s">
        <v>285</v>
      </c>
      <c r="D20" s="380">
        <v>0</v>
      </c>
      <c r="E20" s="381">
        <v>0</v>
      </c>
      <c r="F20" s="398"/>
      <c r="G20" s="399">
        <v>2</v>
      </c>
      <c r="H20" s="400">
        <v>0</v>
      </c>
      <c r="I20" s="405">
        <v>0</v>
      </c>
      <c r="J20" s="383"/>
      <c r="K20" s="402"/>
      <c r="L20" s="385"/>
      <c r="M20" s="399"/>
      <c r="N20" s="402"/>
      <c r="O20" s="398"/>
      <c r="P20" s="407"/>
      <c r="Q20" s="407"/>
      <c r="R20" s="407"/>
      <c r="S20" s="407"/>
      <c r="T20" s="408"/>
      <c r="U20" s="408"/>
      <c r="V20" s="408"/>
      <c r="W20" s="409"/>
      <c r="X20" s="389">
        <f t="shared" si="8"/>
        <v>0</v>
      </c>
      <c r="Y20" s="389">
        <f t="shared" si="2"/>
        <v>0</v>
      </c>
      <c r="Z20" s="389">
        <f t="shared" si="3"/>
        <v>0</v>
      </c>
      <c r="AA20" s="389">
        <f t="shared" si="4"/>
        <v>0</v>
      </c>
      <c r="AB20" s="410"/>
      <c r="AC20" s="396">
        <f t="shared" si="1"/>
        <v>0</v>
      </c>
      <c r="AD20" s="392">
        <f t="shared" si="5"/>
        <v>0</v>
      </c>
      <c r="AE20" s="392">
        <f t="shared" si="6"/>
        <v>0</v>
      </c>
      <c r="AF20" s="392">
        <f t="shared" si="7"/>
        <v>0</v>
      </c>
      <c r="AH20" s="286"/>
    </row>
    <row r="21" spans="1:41" ht="15" x14ac:dyDescent="0.2">
      <c r="B21" s="93"/>
      <c r="C21" s="393" t="s">
        <v>287</v>
      </c>
      <c r="D21" s="411">
        <v>0</v>
      </c>
      <c r="E21" s="400">
        <v>0</v>
      </c>
      <c r="F21" s="398"/>
      <c r="G21" s="399">
        <v>2</v>
      </c>
      <c r="H21" s="400">
        <v>0</v>
      </c>
      <c r="I21" s="405">
        <v>0</v>
      </c>
      <c r="J21" s="383"/>
      <c r="K21" s="402"/>
      <c r="L21" s="385"/>
      <c r="M21" s="399"/>
      <c r="N21" s="402"/>
      <c r="O21" s="398"/>
      <c r="P21" s="407"/>
      <c r="Q21" s="407"/>
      <c r="R21" s="407"/>
      <c r="S21" s="407"/>
      <c r="T21" s="408"/>
      <c r="U21" s="408"/>
      <c r="V21" s="408"/>
      <c r="W21" s="409"/>
      <c r="X21" s="389">
        <f>IF(E21&gt;1,1,IF(E21=1,0.5,0))</f>
        <v>0</v>
      </c>
      <c r="Y21" s="389">
        <f t="shared" si="2"/>
        <v>0</v>
      </c>
      <c r="Z21" s="389">
        <f t="shared" si="3"/>
        <v>0</v>
      </c>
      <c r="AA21" s="389">
        <f>IF(K21&gt;1,1,IF(K21=1,0.5,0))</f>
        <v>0</v>
      </c>
      <c r="AB21" s="410"/>
      <c r="AC21" s="396">
        <f>IF(F21&gt;94%,1,IF(AND(F21&gt;84%,F21&lt;95%),0.5,0))</f>
        <v>0</v>
      </c>
      <c r="AD21" s="392">
        <f t="shared" si="5"/>
        <v>0</v>
      </c>
      <c r="AE21" s="392">
        <f>IF(L21&gt;94%,1,IF(AND(L21&gt;84%,L21&lt;95%),0.5,0))</f>
        <v>0</v>
      </c>
      <c r="AF21" s="392">
        <f t="shared" si="7"/>
        <v>0</v>
      </c>
      <c r="AH21" s="286"/>
    </row>
    <row r="22" spans="1:41" ht="15" x14ac:dyDescent="0.2">
      <c r="B22" s="93"/>
      <c r="C22" s="412"/>
      <c r="D22" s="411"/>
      <c r="E22" s="400"/>
      <c r="F22" s="398"/>
      <c r="G22" s="399"/>
      <c r="H22" s="405"/>
      <c r="J22" s="413"/>
      <c r="K22" s="402"/>
      <c r="L22" s="398"/>
      <c r="M22" s="399"/>
      <c r="N22" s="402"/>
      <c r="O22" s="398"/>
      <c r="P22" s="407"/>
      <c r="Q22" s="407"/>
      <c r="R22" s="407"/>
      <c r="S22" s="407"/>
      <c r="T22" s="408"/>
      <c r="U22" s="408"/>
      <c r="V22" s="408"/>
      <c r="W22" s="409"/>
      <c r="X22" s="389">
        <f>IF(E22&gt;1,1,IF(E22=1,0.5,0))</f>
        <v>0</v>
      </c>
      <c r="Y22" s="389" t="e">
        <f>IF(#REF!&gt;1,1,IF(#REF!=1,0.5,0))</f>
        <v>#REF!</v>
      </c>
      <c r="Z22" s="389">
        <f t="shared" si="3"/>
        <v>0</v>
      </c>
      <c r="AA22" s="389">
        <f>IF(K22&gt;1,1,IF(K22=1,0.5,0))</f>
        <v>0</v>
      </c>
      <c r="AB22" s="410"/>
      <c r="AC22" s="396">
        <f>IF(F22&gt;94%,1,IF(AND(F22&gt;84%,F22&lt;95%),0.5,0))</f>
        <v>0</v>
      </c>
      <c r="AD22" s="392">
        <f>IF(H22&gt;94%,1,IF(AND(H22&gt;84%,H22&lt;95%),0.5,0))</f>
        <v>0</v>
      </c>
      <c r="AE22" s="392">
        <f>IF(L22&gt;94%,1,IF(AND(L22&gt;84%,L22&lt;95%),0.5,0))</f>
        <v>0</v>
      </c>
      <c r="AF22" s="392">
        <f t="shared" si="7"/>
        <v>0</v>
      </c>
      <c r="AH22" s="286"/>
    </row>
    <row r="23" spans="1:41" ht="15" x14ac:dyDescent="0.2">
      <c r="B23" s="93"/>
      <c r="C23" s="412"/>
      <c r="D23" s="411"/>
      <c r="E23" s="400"/>
      <c r="F23" s="398"/>
      <c r="G23" s="399"/>
      <c r="H23" s="402"/>
      <c r="I23" s="405"/>
      <c r="J23" s="413"/>
      <c r="K23" s="402"/>
      <c r="L23" s="398"/>
      <c r="M23" s="399"/>
      <c r="N23" s="402"/>
      <c r="O23" s="398"/>
      <c r="P23" s="407"/>
      <c r="Q23" s="407"/>
      <c r="R23" s="407"/>
      <c r="S23" s="407"/>
      <c r="T23" s="408"/>
      <c r="U23" s="408"/>
      <c r="V23" s="408"/>
      <c r="W23" s="409"/>
      <c r="X23" s="389">
        <f>IF(E23&gt;1,1,IF(E23=1,0.5,0))</f>
        <v>0</v>
      </c>
      <c r="Y23" s="389">
        <f t="shared" si="2"/>
        <v>0</v>
      </c>
      <c r="Z23" s="389">
        <f t="shared" si="3"/>
        <v>0</v>
      </c>
      <c r="AA23" s="389">
        <f>IF(K23&gt;1,1,IF(K23=1,0.5,0))</f>
        <v>0</v>
      </c>
      <c r="AB23" s="410"/>
      <c r="AC23" s="396">
        <f>IF(F23&gt;94%,1,IF(AND(F23&gt;84%,F23&lt;95%),0.5,0))</f>
        <v>0</v>
      </c>
      <c r="AD23" s="392">
        <f t="shared" si="5"/>
        <v>0</v>
      </c>
      <c r="AE23" s="392">
        <f>IF(L23&gt;94%,1,IF(AND(L23&gt;84%,L23&lt;95%),0.5,0))</f>
        <v>0</v>
      </c>
      <c r="AF23" s="392">
        <f t="shared" si="7"/>
        <v>0</v>
      </c>
      <c r="AH23" s="286"/>
    </row>
    <row r="24" spans="1:41" ht="15" x14ac:dyDescent="0.2">
      <c r="B24" s="93"/>
      <c r="C24" s="414"/>
      <c r="D24" s="411"/>
      <c r="E24" s="400"/>
      <c r="F24" s="398"/>
      <c r="G24" s="399"/>
      <c r="H24" s="402"/>
      <c r="I24" s="405"/>
      <c r="J24" s="415"/>
      <c r="K24" s="402"/>
      <c r="L24" s="398"/>
      <c r="M24" s="399"/>
      <c r="N24" s="402"/>
      <c r="O24" s="398"/>
      <c r="P24" s="407"/>
      <c r="Q24" s="407"/>
      <c r="R24" s="407"/>
      <c r="S24" s="407"/>
      <c r="T24" s="408"/>
      <c r="U24" s="408"/>
      <c r="V24" s="408"/>
      <c r="W24" s="409"/>
      <c r="X24" s="389">
        <f>IF(E24&gt;1,1,IF(E24=1,0.5,0))</f>
        <v>0</v>
      </c>
      <c r="Y24" s="389">
        <f t="shared" si="2"/>
        <v>0</v>
      </c>
      <c r="Z24" s="389">
        <f t="shared" si="3"/>
        <v>0</v>
      </c>
      <c r="AA24" s="389">
        <f>IF(K24&gt;1,1,IF(K24=1,0.5,0))</f>
        <v>0</v>
      </c>
      <c r="AB24" s="410"/>
      <c r="AC24" s="396">
        <f>IF(F24&gt;94%,1,IF(AND(F24&gt;84%,F24&lt;95%),0.5,0))</f>
        <v>0</v>
      </c>
      <c r="AD24" s="392">
        <f t="shared" si="5"/>
        <v>0</v>
      </c>
      <c r="AE24" s="392">
        <f>IF(L24&gt;94%,1,IF(AND(L24&gt;84%,L24&lt;95%),0.5,0))</f>
        <v>0</v>
      </c>
      <c r="AF24" s="392">
        <f t="shared" si="7"/>
        <v>0</v>
      </c>
      <c r="AH24" s="286"/>
    </row>
    <row r="25" spans="1:41" ht="15" x14ac:dyDescent="0.2">
      <c r="B25" s="93"/>
      <c r="C25" s="414"/>
      <c r="D25" s="411"/>
      <c r="E25" s="400"/>
      <c r="F25" s="398"/>
      <c r="G25" s="399"/>
      <c r="H25" s="402"/>
      <c r="I25" s="405"/>
      <c r="J25" s="413"/>
      <c r="K25" s="402"/>
      <c r="L25" s="398"/>
      <c r="M25" s="399"/>
      <c r="N25" s="402"/>
      <c r="O25" s="398"/>
      <c r="P25" s="407"/>
      <c r="Q25" s="407"/>
      <c r="R25" s="407"/>
      <c r="S25" s="407"/>
      <c r="T25" s="408"/>
      <c r="U25" s="408"/>
      <c r="V25" s="408"/>
      <c r="W25" s="409"/>
      <c r="X25" s="389">
        <f>IF(E25&gt;1,1,IF(E25=1,0.5,0))</f>
        <v>0</v>
      </c>
      <c r="Y25" s="389">
        <f t="shared" si="2"/>
        <v>0</v>
      </c>
      <c r="Z25" s="389">
        <f t="shared" si="3"/>
        <v>0</v>
      </c>
      <c r="AA25" s="389">
        <f>IF(K25&gt;1,1,IF(K25=1,0.5,0))</f>
        <v>0</v>
      </c>
      <c r="AB25" s="410"/>
      <c r="AC25" s="396">
        <f>IF(F25&gt;94%,1,IF(AND(F25&gt;84%,F25&lt;95%),0.5,0))</f>
        <v>0</v>
      </c>
      <c r="AD25" s="392">
        <f t="shared" si="5"/>
        <v>0</v>
      </c>
      <c r="AE25" s="392">
        <f>IF(L25&gt;94%,1,IF(AND(L25&gt;84%,L25&lt;95%),0.5,0))</f>
        <v>0</v>
      </c>
      <c r="AF25" s="392">
        <f t="shared" si="7"/>
        <v>0</v>
      </c>
      <c r="AH25" s="286"/>
    </row>
    <row r="26" spans="1:41" ht="15.75" thickBot="1" x14ac:dyDescent="0.25">
      <c r="B26" s="93"/>
      <c r="C26" s="416"/>
      <c r="D26" s="417"/>
      <c r="E26" s="418"/>
      <c r="F26" s="419"/>
      <c r="G26" s="420"/>
      <c r="H26" s="421"/>
      <c r="I26" s="422"/>
      <c r="J26" s="423"/>
      <c r="K26" s="424"/>
      <c r="L26" s="419"/>
      <c r="M26" s="420"/>
      <c r="N26" s="424"/>
      <c r="O26" s="419"/>
      <c r="P26" s="407"/>
      <c r="Q26" s="407"/>
      <c r="R26" s="407"/>
      <c r="S26" s="407"/>
      <c r="T26" s="408"/>
      <c r="U26" s="408"/>
      <c r="V26" s="408"/>
      <c r="W26" s="409"/>
      <c r="X26" s="389">
        <f t="shared" si="8"/>
        <v>0</v>
      </c>
      <c r="Y26" s="389">
        <f t="shared" si="2"/>
        <v>0</v>
      </c>
      <c r="Z26" s="389">
        <f t="shared" si="3"/>
        <v>0</v>
      </c>
      <c r="AA26" s="389">
        <f t="shared" si="4"/>
        <v>0</v>
      </c>
      <c r="AB26" s="410"/>
      <c r="AC26" s="396">
        <f t="shared" si="1"/>
        <v>0</v>
      </c>
      <c r="AD26" s="392">
        <f t="shared" si="5"/>
        <v>0</v>
      </c>
      <c r="AE26" s="392">
        <f t="shared" si="6"/>
        <v>0</v>
      </c>
      <c r="AF26" s="392">
        <f t="shared" si="7"/>
        <v>0</v>
      </c>
      <c r="AH26" s="286"/>
    </row>
    <row r="27" spans="1:41" s="428" customFormat="1" ht="15.75" thickBot="1" x14ac:dyDescent="0.25">
      <c r="A27" s="320"/>
      <c r="B27" s="425"/>
      <c r="C27" s="426"/>
      <c r="D27" s="427">
        <f>COUNTA(F13:F26)</f>
        <v>0</v>
      </c>
      <c r="F27" s="408"/>
      <c r="G27" s="429">
        <f>COUNTA(I13:I24)</f>
        <v>9</v>
      </c>
      <c r="I27" s="410">
        <f>COUNTA(I13:I26)</f>
        <v>9</v>
      </c>
      <c r="J27" s="429">
        <f>COUNTA(L13:L26)</f>
        <v>0</v>
      </c>
      <c r="K27" s="410">
        <f>COUNTA(K13:K26)</f>
        <v>0</v>
      </c>
      <c r="L27" s="408"/>
      <c r="M27" s="429">
        <f>COUNTA(O13:O26)</f>
        <v>0</v>
      </c>
      <c r="N27" s="408">
        <f>COUNTA(O13:O19)</f>
        <v>0</v>
      </c>
      <c r="O27" s="408"/>
      <c r="P27" s="408"/>
      <c r="Q27" s="408"/>
      <c r="R27" s="408"/>
      <c r="S27" s="408"/>
      <c r="T27" s="408"/>
      <c r="U27" s="408"/>
      <c r="V27" s="408"/>
      <c r="W27" s="430">
        <v>1</v>
      </c>
      <c r="X27" s="389">
        <f>COUNTIF(X13:X26,W27)</f>
        <v>0</v>
      </c>
      <c r="Y27" s="389">
        <f>COUNTIF(Y13:Y26,W27)</f>
        <v>0</v>
      </c>
      <c r="Z27" s="389">
        <f>COUNTIF(Z13:Z26,W27)</f>
        <v>0</v>
      </c>
      <c r="AA27" s="389">
        <f>COUNTIF(AA13:AA26,W27)</f>
        <v>0</v>
      </c>
      <c r="AB27" s="320">
        <v>1</v>
      </c>
      <c r="AC27" s="431">
        <f>COUNTIF(AC13:AC26,AB27)</f>
        <v>0</v>
      </c>
      <c r="AD27" s="431">
        <f>COUNTIF(AD13:AD26,AB27)</f>
        <v>0</v>
      </c>
      <c r="AE27" s="431">
        <f>COUNTIF(AE13:AE26,AB27)</f>
        <v>0</v>
      </c>
      <c r="AF27" s="431">
        <f>COUNTIF(AF13:AF26,AB27)</f>
        <v>0</v>
      </c>
      <c r="AG27" s="320"/>
      <c r="AH27" s="294"/>
      <c r="AI27" s="320"/>
      <c r="AJ27" s="320"/>
      <c r="AK27" s="320"/>
      <c r="AL27" s="320"/>
      <c r="AM27" s="320"/>
      <c r="AN27" s="320"/>
      <c r="AO27" s="320"/>
    </row>
    <row r="28" spans="1:41" ht="15" x14ac:dyDescent="0.2">
      <c r="B28" s="93"/>
      <c r="C28" s="432" t="s">
        <v>43</v>
      </c>
      <c r="D28" s="433" t="e">
        <f>AVERAGE(F13:F26)</f>
        <v>#DIV/0!</v>
      </c>
      <c r="E28" s="433"/>
      <c r="F28" s="434"/>
      <c r="G28" s="435">
        <f>AVERAGE(I13:I26)</f>
        <v>0</v>
      </c>
      <c r="H28" s="433"/>
      <c r="I28" s="434"/>
      <c r="J28" s="435" t="e">
        <f>AVERAGE(L13:L26)</f>
        <v>#DIV/0!</v>
      </c>
      <c r="K28" s="433"/>
      <c r="L28" s="434"/>
      <c r="M28" s="435" t="e">
        <f>AVERAGE(O13:O26)</f>
        <v>#DIV/0!</v>
      </c>
      <c r="N28" s="433"/>
      <c r="O28" s="436"/>
      <c r="P28" s="437"/>
      <c r="Q28" s="437"/>
      <c r="R28" s="437"/>
      <c r="S28" s="437"/>
      <c r="T28" s="438"/>
      <c r="U28" s="438"/>
      <c r="V28" s="438"/>
      <c r="W28" s="439"/>
      <c r="X28" s="440"/>
      <c r="Y28" s="440"/>
      <c r="Z28" s="440"/>
      <c r="AA28" s="440"/>
      <c r="AH28" s="286"/>
    </row>
    <row r="29" spans="1:41" ht="15" customHeight="1" x14ac:dyDescent="0.2">
      <c r="B29" s="93"/>
      <c r="C29" s="441" t="s">
        <v>44</v>
      </c>
      <c r="D29" s="442" t="e">
        <f>AC27/D27</f>
        <v>#DIV/0!</v>
      </c>
      <c r="E29" s="442"/>
      <c r="F29" s="443"/>
      <c r="G29" s="442">
        <f>AD27/G27</f>
        <v>0</v>
      </c>
      <c r="H29" s="442"/>
      <c r="I29" s="443"/>
      <c r="J29" s="442" t="e">
        <f>AE27/J27</f>
        <v>#DIV/0!</v>
      </c>
      <c r="K29" s="442"/>
      <c r="L29" s="443"/>
      <c r="M29" s="442" t="e">
        <f>AF27/M27</f>
        <v>#DIV/0!</v>
      </c>
      <c r="N29" s="442"/>
      <c r="O29" s="444"/>
      <c r="P29" s="437"/>
      <c r="Q29" s="437"/>
      <c r="R29" s="437"/>
      <c r="S29" s="437"/>
      <c r="T29" s="438"/>
      <c r="U29" s="438"/>
      <c r="V29" s="438"/>
      <c r="W29" s="439"/>
      <c r="X29" s="440"/>
      <c r="Y29" s="440"/>
      <c r="Z29" s="440"/>
      <c r="AA29" s="440"/>
      <c r="AC29" s="431"/>
      <c r="AD29" s="431"/>
      <c r="AE29" s="431"/>
      <c r="AF29" s="431"/>
      <c r="AH29" s="286"/>
    </row>
    <row r="30" spans="1:41" ht="15.75" customHeight="1" thickBot="1" x14ac:dyDescent="0.25">
      <c r="B30" s="93"/>
      <c r="C30" s="445" t="s">
        <v>45</v>
      </c>
      <c r="D30" s="446" t="e">
        <f>100%-D29</f>
        <v>#DIV/0!</v>
      </c>
      <c r="E30" s="446"/>
      <c r="F30" s="447"/>
      <c r="G30" s="448">
        <f>100%-G29</f>
        <v>1</v>
      </c>
      <c r="H30" s="446"/>
      <c r="I30" s="447"/>
      <c r="J30" s="448" t="e">
        <f t="shared" ref="J30" si="9">100%-J29</f>
        <v>#DIV/0!</v>
      </c>
      <c r="K30" s="446"/>
      <c r="L30" s="447"/>
      <c r="M30" s="448" t="e">
        <f>100%-M29</f>
        <v>#DIV/0!</v>
      </c>
      <c r="N30" s="446"/>
      <c r="O30" s="449"/>
      <c r="P30" s="437"/>
      <c r="Q30" s="437"/>
      <c r="R30" s="437"/>
      <c r="S30" s="437"/>
      <c r="T30" s="438"/>
      <c r="U30" s="438"/>
      <c r="V30" s="438"/>
      <c r="W30" s="450"/>
      <c r="X30" s="440"/>
      <c r="Y30" s="440"/>
      <c r="Z30" s="440"/>
      <c r="AA30" s="440"/>
      <c r="AH30" s="286"/>
    </row>
    <row r="31" spans="1:41" s="458" customFormat="1" ht="15.75" thickBot="1" x14ac:dyDescent="0.25">
      <c r="A31" s="89"/>
      <c r="B31" s="425"/>
      <c r="C31" s="451"/>
      <c r="D31" s="451"/>
      <c r="E31" s="452">
        <f>SUM(X13:X26)</f>
        <v>0</v>
      </c>
      <c r="F31" s="452"/>
      <c r="G31" s="453"/>
      <c r="H31" s="454" t="e">
        <f>SUM(Y13:Y26)</f>
        <v>#REF!</v>
      </c>
      <c r="I31" s="454"/>
      <c r="J31" s="453"/>
      <c r="K31" s="452">
        <f>SUM(Z13:Z26)</f>
        <v>0</v>
      </c>
      <c r="L31" s="455"/>
      <c r="M31" s="453"/>
      <c r="N31" s="452">
        <f>SUM(AA13:AA26)</f>
        <v>0</v>
      </c>
      <c r="O31" s="452"/>
      <c r="P31" s="453"/>
      <c r="Q31" s="453"/>
      <c r="R31" s="453"/>
      <c r="S31" s="453"/>
      <c r="T31" s="453"/>
      <c r="U31" s="453"/>
      <c r="V31" s="453"/>
      <c r="W31" s="456"/>
      <c r="X31" s="457"/>
      <c r="Y31" s="457"/>
      <c r="Z31" s="457"/>
      <c r="AA31" s="457"/>
      <c r="AB31" s="410"/>
      <c r="AC31" s="321"/>
      <c r="AD31" s="89"/>
      <c r="AE31" s="89"/>
      <c r="AF31" s="89"/>
      <c r="AG31" s="89"/>
      <c r="AH31" s="286"/>
      <c r="AI31" s="89"/>
      <c r="AJ31" s="89"/>
      <c r="AK31" s="89"/>
      <c r="AL31" s="89"/>
      <c r="AM31" s="89"/>
      <c r="AN31" s="89"/>
      <c r="AO31" s="89"/>
    </row>
    <row r="32" spans="1:41" ht="16.5" customHeight="1" thickBot="1" x14ac:dyDescent="0.25">
      <c r="B32" s="93"/>
      <c r="C32" s="459" t="s">
        <v>46</v>
      </c>
      <c r="D32" s="460" t="e">
        <f>E31/D27</f>
        <v>#DIV/0!</v>
      </c>
      <c r="E32" s="460"/>
      <c r="F32" s="461"/>
      <c r="G32" s="462" t="e">
        <f>H31/G27</f>
        <v>#REF!</v>
      </c>
      <c r="H32" s="460"/>
      <c r="I32" s="461"/>
      <c r="J32" s="462" t="e">
        <f>K31/J27</f>
        <v>#DIV/0!</v>
      </c>
      <c r="K32" s="460"/>
      <c r="L32" s="461"/>
      <c r="M32" s="462">
        <v>1</v>
      </c>
      <c r="N32" s="460"/>
      <c r="O32" s="463"/>
      <c r="P32" s="437"/>
      <c r="Q32" s="437"/>
      <c r="R32" s="437"/>
      <c r="S32" s="437"/>
      <c r="T32" s="438"/>
      <c r="U32" s="438"/>
      <c r="V32" s="438"/>
      <c r="W32" s="456"/>
      <c r="X32" s="457"/>
      <c r="Y32" s="457"/>
      <c r="Z32" s="457"/>
      <c r="AA32" s="457"/>
      <c r="AB32" s="410"/>
      <c r="AE32" s="89">
        <f>COUNTIF(X13:X26,W27)</f>
        <v>0</v>
      </c>
      <c r="AH32" s="286"/>
    </row>
    <row r="33" spans="1:41" s="86" customFormat="1" x14ac:dyDescent="0.2">
      <c r="B33" s="93"/>
      <c r="C33" s="320" t="s">
        <v>47</v>
      </c>
      <c r="D33" s="320">
        <f>SUM(F13:F26)</f>
        <v>0</v>
      </c>
      <c r="E33" s="320"/>
      <c r="F33" s="320">
        <f>SUM(H13:H26)</f>
        <v>0</v>
      </c>
      <c r="G33" s="320"/>
      <c r="H33" s="320">
        <f>SUM(I13:I26)</f>
        <v>0</v>
      </c>
      <c r="I33" s="320">
        <f>SUM(O13:O26)</f>
        <v>0</v>
      </c>
      <c r="J33" s="320"/>
      <c r="K33" s="320"/>
      <c r="L33" s="320"/>
      <c r="M33" s="320"/>
      <c r="N33" s="320"/>
      <c r="O33" s="94"/>
      <c r="P33" s="464"/>
      <c r="Q33" s="464"/>
      <c r="R33" s="464"/>
      <c r="S33" s="464"/>
      <c r="T33" s="320"/>
      <c r="U33" s="320"/>
      <c r="V33" s="320"/>
      <c r="W33" s="343"/>
      <c r="X33" s="320"/>
      <c r="Y33" s="320"/>
      <c r="Z33" s="320"/>
      <c r="AA33" s="320"/>
      <c r="AB33" s="320"/>
      <c r="AC33" s="321"/>
      <c r="AD33" s="89"/>
      <c r="AE33" s="89"/>
      <c r="AF33" s="89"/>
      <c r="AG33" s="89"/>
      <c r="AH33" s="286"/>
    </row>
    <row r="34" spans="1:41" s="86" customFormat="1" ht="15" x14ac:dyDescent="0.2">
      <c r="B34" s="93"/>
      <c r="C34" s="465" t="s">
        <v>48</v>
      </c>
      <c r="D34" s="466"/>
      <c r="E34" s="466"/>
      <c r="F34" s="466"/>
      <c r="G34" s="466"/>
      <c r="H34" s="466"/>
      <c r="I34" s="466"/>
      <c r="J34" s="466"/>
      <c r="K34" s="466"/>
      <c r="L34" s="466"/>
      <c r="M34" s="466"/>
      <c r="N34" s="466"/>
      <c r="O34" s="467"/>
      <c r="P34" s="468"/>
      <c r="Q34" s="468"/>
      <c r="R34" s="468"/>
      <c r="S34" s="468"/>
      <c r="T34" s="469"/>
      <c r="U34" s="469"/>
      <c r="V34" s="469"/>
      <c r="W34" s="470"/>
      <c r="X34" s="469"/>
      <c r="Y34" s="469"/>
      <c r="Z34" s="469"/>
      <c r="AA34" s="469"/>
      <c r="AB34" s="469"/>
      <c r="AC34" s="321"/>
      <c r="AD34" s="89"/>
      <c r="AE34" s="89"/>
      <c r="AF34" s="89"/>
      <c r="AG34" s="89"/>
      <c r="AH34" s="286"/>
    </row>
    <row r="35" spans="1:41" s="86" customFormat="1" ht="15.75" customHeight="1" x14ac:dyDescent="0.2">
      <c r="B35" s="93"/>
      <c r="C35" s="471" t="s">
        <v>6</v>
      </c>
      <c r="D35" s="472">
        <v>0</v>
      </c>
      <c r="E35" s="472"/>
      <c r="F35" s="473"/>
      <c r="G35" s="474">
        <v>0</v>
      </c>
      <c r="H35" s="472"/>
      <c r="I35" s="473"/>
      <c r="J35" s="474">
        <v>0</v>
      </c>
      <c r="K35" s="472"/>
      <c r="L35" s="473"/>
      <c r="M35" s="474">
        <v>0</v>
      </c>
      <c r="N35" s="472"/>
      <c r="O35" s="473"/>
      <c r="P35" s="475"/>
      <c r="Q35" s="475"/>
      <c r="R35" s="475"/>
      <c r="S35" s="475"/>
      <c r="T35" s="475"/>
      <c r="U35" s="476"/>
      <c r="V35" s="476"/>
      <c r="W35" s="477"/>
      <c r="X35" s="476"/>
      <c r="Y35" s="476"/>
      <c r="Z35" s="476"/>
      <c r="AA35" s="476"/>
      <c r="AB35" s="476"/>
      <c r="AC35" s="321"/>
      <c r="AD35" s="89"/>
      <c r="AE35" s="89"/>
      <c r="AF35" s="89"/>
      <c r="AG35" s="89"/>
      <c r="AH35" s="286"/>
    </row>
    <row r="36" spans="1:41" s="86" customFormat="1" ht="15.75" customHeight="1" x14ac:dyDescent="0.2">
      <c r="B36" s="93"/>
      <c r="C36" s="471" t="s">
        <v>8</v>
      </c>
      <c r="D36" s="474">
        <v>0</v>
      </c>
      <c r="E36" s="472"/>
      <c r="F36" s="473"/>
      <c r="G36" s="474">
        <v>0</v>
      </c>
      <c r="H36" s="472"/>
      <c r="I36" s="473"/>
      <c r="J36" s="474">
        <v>0</v>
      </c>
      <c r="K36" s="478"/>
      <c r="L36" s="479"/>
      <c r="M36" s="474">
        <v>0</v>
      </c>
      <c r="N36" s="478"/>
      <c r="O36" s="479"/>
      <c r="P36" s="480"/>
      <c r="Q36" s="480"/>
      <c r="R36" s="480"/>
      <c r="S36" s="480"/>
      <c r="T36" s="480"/>
      <c r="U36" s="481"/>
      <c r="V36" s="481"/>
      <c r="W36" s="482"/>
      <c r="X36" s="481"/>
      <c r="Y36" s="481"/>
      <c r="Z36" s="481"/>
      <c r="AA36" s="481"/>
      <c r="AB36" s="481"/>
      <c r="AC36" s="483"/>
      <c r="AD36" s="286"/>
      <c r="AE36" s="286"/>
      <c r="AF36" s="286"/>
      <c r="AG36" s="286"/>
      <c r="AH36" s="286"/>
    </row>
    <row r="37" spans="1:41" s="86" customFormat="1" ht="15.75" customHeight="1" x14ac:dyDescent="0.2">
      <c r="B37" s="93"/>
      <c r="C37" s="471" t="s">
        <v>49</v>
      </c>
      <c r="D37" s="474">
        <v>0</v>
      </c>
      <c r="E37" s="472"/>
      <c r="F37" s="473"/>
      <c r="G37" s="474">
        <v>0</v>
      </c>
      <c r="H37" s="472"/>
      <c r="I37" s="473"/>
      <c r="J37" s="474">
        <v>0</v>
      </c>
      <c r="K37" s="478"/>
      <c r="L37" s="479"/>
      <c r="M37" s="474">
        <v>0</v>
      </c>
      <c r="N37" s="478"/>
      <c r="O37" s="479"/>
      <c r="P37" s="480"/>
      <c r="Q37" s="480"/>
      <c r="R37" s="480"/>
      <c r="S37" s="480"/>
      <c r="T37" s="480"/>
      <c r="U37" s="481"/>
      <c r="V37" s="481"/>
      <c r="W37" s="482"/>
      <c r="X37" s="481"/>
      <c r="Y37" s="481"/>
      <c r="Z37" s="481"/>
      <c r="AA37" s="481"/>
      <c r="AB37" s="481"/>
      <c r="AC37" s="483"/>
      <c r="AD37" s="286"/>
      <c r="AE37" s="286"/>
      <c r="AF37" s="286"/>
      <c r="AG37" s="286"/>
      <c r="AH37" s="286"/>
    </row>
    <row r="38" spans="1:41" s="86" customFormat="1" x14ac:dyDescent="0.2">
      <c r="B38" s="93"/>
      <c r="C38" s="94"/>
      <c r="D38" s="94"/>
      <c r="E38" s="94"/>
      <c r="F38" s="94"/>
      <c r="G38" s="94"/>
      <c r="H38" s="94"/>
      <c r="I38" s="94"/>
      <c r="J38" s="94"/>
      <c r="K38" s="94"/>
      <c r="L38" s="94"/>
      <c r="M38" s="464"/>
      <c r="N38" s="464"/>
      <c r="O38" s="464"/>
      <c r="P38" s="464"/>
      <c r="Q38" s="464"/>
      <c r="R38" s="464"/>
      <c r="S38" s="464"/>
      <c r="T38" s="464"/>
      <c r="U38" s="294"/>
      <c r="V38" s="294"/>
      <c r="W38" s="484"/>
      <c r="X38" s="294"/>
      <c r="Y38" s="294"/>
      <c r="Z38" s="294"/>
      <c r="AA38" s="294"/>
      <c r="AB38" s="294"/>
      <c r="AC38" s="483"/>
      <c r="AD38" s="286"/>
      <c r="AE38" s="286"/>
      <c r="AF38" s="286"/>
      <c r="AG38" s="286"/>
      <c r="AH38" s="286"/>
    </row>
    <row r="39" spans="1:41" s="86" customFormat="1" x14ac:dyDescent="0.2">
      <c r="B39" s="93"/>
      <c r="C39" s="94"/>
      <c r="D39" s="94"/>
      <c r="E39" s="94"/>
      <c r="F39" s="94"/>
      <c r="G39" s="94"/>
      <c r="H39" s="94"/>
      <c r="I39" s="94"/>
      <c r="J39" s="94"/>
      <c r="K39" s="94"/>
      <c r="L39" s="94"/>
      <c r="M39" s="464"/>
      <c r="N39" s="464"/>
      <c r="O39" s="464"/>
      <c r="P39" s="464"/>
      <c r="Q39" s="464"/>
      <c r="R39" s="464"/>
      <c r="S39" s="464"/>
      <c r="T39" s="464"/>
      <c r="U39" s="294"/>
      <c r="V39" s="294"/>
      <c r="W39" s="484"/>
      <c r="X39" s="286"/>
      <c r="Y39" s="286"/>
      <c r="Z39" s="286"/>
      <c r="AA39" s="286"/>
      <c r="AB39" s="294"/>
      <c r="AC39" s="483"/>
      <c r="AD39" s="286"/>
      <c r="AE39" s="286"/>
      <c r="AF39" s="286"/>
      <c r="AG39" s="286"/>
      <c r="AH39" s="286"/>
    </row>
    <row r="40" spans="1:41" s="89" customFormat="1" x14ac:dyDescent="0.2">
      <c r="A40" s="86"/>
      <c r="B40" s="93"/>
      <c r="C40" s="94"/>
      <c r="D40" s="94"/>
      <c r="E40" s="94"/>
      <c r="F40" s="94"/>
      <c r="G40" s="94"/>
      <c r="H40" s="94"/>
      <c r="I40" s="94"/>
      <c r="J40" s="94"/>
      <c r="K40" s="94"/>
      <c r="L40" s="94"/>
      <c r="M40" s="464"/>
      <c r="N40" s="464"/>
      <c r="O40" s="464"/>
      <c r="P40" s="464"/>
      <c r="Q40" s="464"/>
      <c r="R40" s="464"/>
      <c r="S40" s="464"/>
      <c r="T40" s="464"/>
      <c r="U40" s="464"/>
      <c r="V40" s="464"/>
      <c r="W40" s="343"/>
      <c r="X40" s="320"/>
      <c r="Y40" s="320"/>
      <c r="Z40" s="320"/>
      <c r="AA40" s="320"/>
      <c r="AB40" s="320"/>
      <c r="AC40" s="321"/>
      <c r="AH40" s="86"/>
      <c r="AI40" s="86"/>
      <c r="AJ40" s="86"/>
      <c r="AK40" s="86"/>
      <c r="AL40" s="86"/>
      <c r="AM40" s="86"/>
      <c r="AN40" s="86"/>
      <c r="AO40" s="86"/>
    </row>
    <row r="41" spans="1:41" s="89" customFormat="1" ht="15" thickBot="1" x14ac:dyDescent="0.25">
      <c r="A41" s="86"/>
      <c r="B41" s="485"/>
      <c r="C41" s="486"/>
      <c r="D41" s="486"/>
      <c r="E41" s="486"/>
      <c r="F41" s="486"/>
      <c r="G41" s="486"/>
      <c r="H41" s="486"/>
      <c r="I41" s="486"/>
      <c r="J41" s="486"/>
      <c r="K41" s="486"/>
      <c r="L41" s="486"/>
      <c r="M41" s="487"/>
      <c r="N41" s="487"/>
      <c r="O41" s="487"/>
      <c r="P41" s="487"/>
      <c r="Q41" s="487"/>
      <c r="R41" s="487"/>
      <c r="S41" s="487"/>
      <c r="T41" s="487"/>
      <c r="U41" s="487"/>
      <c r="V41" s="487"/>
      <c r="W41" s="488"/>
      <c r="AB41" s="320"/>
      <c r="AC41" s="321"/>
      <c r="AH41" s="86"/>
      <c r="AI41" s="86"/>
      <c r="AJ41" s="86"/>
      <c r="AK41" s="86"/>
      <c r="AL41" s="86"/>
      <c r="AM41" s="86"/>
      <c r="AN41" s="86"/>
      <c r="AO41" s="86"/>
    </row>
    <row r="42" spans="1:41" s="89" customFormat="1" x14ac:dyDescent="0.2">
      <c r="A42" s="86"/>
      <c r="B42" s="86"/>
      <c r="C42" s="86"/>
      <c r="D42" s="86"/>
      <c r="E42" s="86"/>
      <c r="F42" s="86"/>
      <c r="G42" s="86"/>
      <c r="H42" s="86"/>
      <c r="I42" s="86"/>
      <c r="J42" s="86"/>
      <c r="K42" s="86"/>
      <c r="L42" s="86"/>
      <c r="M42" s="319"/>
      <c r="N42" s="319"/>
      <c r="O42" s="319"/>
      <c r="P42" s="319"/>
      <c r="Q42" s="319"/>
      <c r="R42" s="319"/>
      <c r="S42" s="319"/>
      <c r="T42" s="319"/>
      <c r="U42" s="319"/>
      <c r="V42" s="319"/>
      <c r="AB42" s="320"/>
      <c r="AC42" s="321"/>
      <c r="AH42" s="86"/>
      <c r="AI42" s="86"/>
      <c r="AJ42" s="86"/>
      <c r="AK42" s="86"/>
      <c r="AL42" s="86"/>
      <c r="AM42" s="86"/>
      <c r="AN42" s="86"/>
      <c r="AO42" s="86"/>
    </row>
    <row r="43" spans="1:41" s="89" customFormat="1" x14ac:dyDescent="0.2">
      <c r="A43" s="86"/>
      <c r="B43" s="86"/>
      <c r="C43" s="86"/>
      <c r="D43" s="86"/>
      <c r="E43" s="86"/>
      <c r="F43" s="86"/>
      <c r="G43" s="86"/>
      <c r="H43" s="86"/>
      <c r="I43" s="319"/>
      <c r="J43" s="319"/>
      <c r="K43" s="319"/>
      <c r="L43" s="319"/>
      <c r="M43" s="319"/>
      <c r="N43" s="319"/>
      <c r="O43" s="319"/>
      <c r="P43" s="319"/>
      <c r="Q43" s="319"/>
      <c r="R43" s="319"/>
      <c r="X43" s="320"/>
      <c r="Y43" s="321"/>
      <c r="AD43" s="86"/>
      <c r="AE43" s="86"/>
      <c r="AF43" s="86"/>
      <c r="AG43" s="86"/>
      <c r="AH43" s="86"/>
      <c r="AI43" s="86"/>
      <c r="AJ43" s="86"/>
      <c r="AK43" s="86"/>
    </row>
    <row r="44" spans="1:41" s="319" customFormat="1" x14ac:dyDescent="0.2">
      <c r="A44" s="86"/>
      <c r="B44" s="86"/>
      <c r="C44" s="86"/>
      <c r="D44" s="86"/>
      <c r="E44" s="86"/>
      <c r="F44" s="86"/>
      <c r="Q44" s="89"/>
      <c r="R44" s="89"/>
      <c r="S44" s="89"/>
      <c r="T44" s="89"/>
      <c r="U44" s="89"/>
      <c r="V44" s="320"/>
      <c r="W44" s="321"/>
      <c r="X44" s="89"/>
      <c r="Y44" s="89"/>
      <c r="Z44" s="89"/>
      <c r="AA44" s="89"/>
      <c r="AB44" s="86"/>
      <c r="AC44" s="86"/>
      <c r="AD44" s="86"/>
      <c r="AE44" s="86"/>
      <c r="AF44" s="86"/>
      <c r="AG44" s="86"/>
      <c r="AH44" s="86"/>
      <c r="AI44" s="86"/>
    </row>
    <row r="45" spans="1:41" s="319" customFormat="1" x14ac:dyDescent="0.2">
      <c r="A45" s="86"/>
      <c r="B45" s="86"/>
      <c r="C45" s="86"/>
      <c r="N45" s="89"/>
      <c r="O45" s="89"/>
      <c r="P45" s="89"/>
      <c r="Q45" s="89"/>
      <c r="R45" s="89"/>
      <c r="S45" s="320"/>
      <c r="T45" s="321"/>
      <c r="U45" s="89"/>
      <c r="V45" s="89"/>
      <c r="W45" s="89"/>
      <c r="X45" s="89"/>
      <c r="Y45" s="86"/>
      <c r="Z45" s="86"/>
      <c r="AA45" s="86"/>
      <c r="AB45" s="86"/>
      <c r="AC45" s="86"/>
      <c r="AD45" s="86"/>
      <c r="AE45" s="86"/>
      <c r="AF45" s="86"/>
    </row>
    <row r="46" spans="1:41" s="319" customFormat="1" x14ac:dyDescent="0.2">
      <c r="A46" s="86"/>
      <c r="B46" s="86"/>
      <c r="C46" s="86"/>
      <c r="N46" s="89"/>
      <c r="O46" s="89"/>
      <c r="P46" s="89"/>
      <c r="Q46" s="89"/>
      <c r="R46" s="89"/>
      <c r="S46" s="320"/>
      <c r="T46" s="321"/>
      <c r="U46" s="89"/>
      <c r="V46" s="89"/>
      <c r="W46" s="89"/>
      <c r="X46" s="89"/>
      <c r="Y46" s="86"/>
      <c r="Z46" s="86"/>
      <c r="AA46" s="86"/>
      <c r="AB46" s="86"/>
      <c r="AC46" s="86"/>
      <c r="AD46" s="86"/>
      <c r="AE46" s="86"/>
      <c r="AF46" s="86"/>
    </row>
    <row r="47" spans="1:41" s="319" customFormat="1" x14ac:dyDescent="0.2">
      <c r="A47" s="86"/>
      <c r="B47" s="86"/>
      <c r="C47" s="86"/>
      <c r="N47" s="89"/>
      <c r="O47" s="89"/>
      <c r="P47" s="89"/>
      <c r="Q47" s="89"/>
      <c r="R47" s="89"/>
      <c r="S47" s="320"/>
      <c r="T47" s="321"/>
      <c r="U47" s="89"/>
      <c r="V47" s="89"/>
      <c r="W47" s="89"/>
      <c r="X47" s="89"/>
      <c r="Y47" s="86"/>
      <c r="Z47" s="86"/>
      <c r="AA47" s="86"/>
      <c r="AB47" s="86"/>
      <c r="AC47" s="86"/>
      <c r="AD47" s="86"/>
      <c r="AE47" s="86"/>
      <c r="AF47" s="86"/>
    </row>
    <row r="48" spans="1:41" s="319" customFormat="1" x14ac:dyDescent="0.2">
      <c r="A48" s="86"/>
      <c r="B48" s="86"/>
      <c r="C48" s="86"/>
      <c r="N48" s="89"/>
      <c r="O48" s="89"/>
      <c r="P48" s="89"/>
      <c r="Q48" s="89"/>
      <c r="R48" s="89"/>
      <c r="S48" s="320"/>
      <c r="T48" s="321"/>
      <c r="U48" s="89"/>
      <c r="V48" s="89"/>
      <c r="W48" s="89"/>
      <c r="X48" s="89"/>
      <c r="Y48" s="86"/>
      <c r="Z48" s="86"/>
      <c r="AA48" s="86"/>
      <c r="AB48" s="86"/>
      <c r="AC48" s="86"/>
      <c r="AD48" s="86"/>
      <c r="AE48" s="86"/>
      <c r="AF48" s="86"/>
    </row>
    <row r="49" spans="1:41" s="319" customFormat="1" x14ac:dyDescent="0.2">
      <c r="A49" s="86"/>
      <c r="B49" s="86"/>
      <c r="C49" s="86"/>
      <c r="N49" s="89"/>
      <c r="O49" s="89"/>
      <c r="P49" s="89"/>
      <c r="Q49" s="89"/>
      <c r="R49" s="89"/>
      <c r="S49" s="320"/>
      <c r="T49" s="321"/>
      <c r="U49" s="89"/>
      <c r="V49" s="89"/>
      <c r="W49" s="89"/>
      <c r="X49" s="89"/>
      <c r="Y49" s="86"/>
      <c r="Z49" s="86"/>
      <c r="AA49" s="86"/>
      <c r="AB49" s="86"/>
      <c r="AC49" s="86"/>
      <c r="AD49" s="86"/>
      <c r="AE49" s="86"/>
      <c r="AF49" s="86"/>
    </row>
    <row r="50" spans="1:41" s="319" customFormat="1" x14ac:dyDescent="0.2">
      <c r="A50" s="86"/>
      <c r="B50" s="86"/>
      <c r="C50" s="86"/>
      <c r="N50" s="89"/>
      <c r="O50" s="89"/>
      <c r="P50" s="89"/>
      <c r="Q50" s="89"/>
      <c r="R50" s="89"/>
      <c r="S50" s="320"/>
      <c r="T50" s="321"/>
      <c r="U50" s="89"/>
      <c r="V50" s="89"/>
      <c r="W50" s="89"/>
      <c r="X50" s="89"/>
      <c r="Y50" s="86"/>
      <c r="Z50" s="86"/>
      <c r="AA50" s="86"/>
      <c r="AB50" s="86"/>
      <c r="AC50" s="86"/>
      <c r="AD50" s="86"/>
      <c r="AE50" s="86"/>
      <c r="AF50" s="86"/>
    </row>
    <row r="51" spans="1:41" s="319" customFormat="1" x14ac:dyDescent="0.2">
      <c r="A51" s="86"/>
      <c r="B51" s="86"/>
      <c r="C51" s="86"/>
      <c r="D51" s="86"/>
      <c r="E51" s="86"/>
      <c r="P51" s="89"/>
      <c r="Q51" s="89"/>
      <c r="R51" s="89"/>
      <c r="S51" s="89"/>
      <c r="T51" s="89"/>
      <c r="U51" s="320"/>
      <c r="V51" s="321"/>
      <c r="W51" s="89"/>
      <c r="X51" s="89"/>
      <c r="Y51" s="89"/>
      <c r="Z51" s="89"/>
      <c r="AA51" s="86"/>
      <c r="AB51" s="86"/>
      <c r="AC51" s="86"/>
      <c r="AD51" s="86"/>
      <c r="AE51" s="86"/>
      <c r="AF51" s="86"/>
      <c r="AG51" s="86"/>
      <c r="AH51" s="86"/>
    </row>
    <row r="52" spans="1:41" s="319" customFormat="1" x14ac:dyDescent="0.2">
      <c r="A52" s="86"/>
      <c r="B52" s="86"/>
      <c r="C52" s="86"/>
      <c r="D52" s="86"/>
      <c r="E52" s="86"/>
      <c r="F52" s="86"/>
      <c r="G52" s="86"/>
      <c r="R52" s="89"/>
      <c r="S52" s="89"/>
      <c r="T52" s="89"/>
      <c r="U52" s="89"/>
      <c r="V52" s="89"/>
      <c r="W52" s="320"/>
      <c r="X52" s="321"/>
      <c r="Y52" s="89"/>
      <c r="Z52" s="89"/>
      <c r="AA52" s="89"/>
      <c r="AB52" s="89"/>
      <c r="AC52" s="86"/>
      <c r="AD52" s="86"/>
      <c r="AE52" s="86"/>
      <c r="AF52" s="86"/>
      <c r="AG52" s="86"/>
      <c r="AH52" s="86"/>
      <c r="AI52" s="86"/>
      <c r="AJ52" s="86"/>
    </row>
    <row r="53" spans="1:41" s="319" customFormat="1" x14ac:dyDescent="0.2">
      <c r="A53" s="86"/>
      <c r="B53" s="86"/>
      <c r="C53" s="86"/>
      <c r="D53" s="86"/>
      <c r="E53" s="86"/>
      <c r="F53" s="86"/>
      <c r="G53" s="86"/>
      <c r="R53" s="89"/>
      <c r="S53" s="89"/>
      <c r="T53" s="89"/>
      <c r="U53" s="89"/>
      <c r="V53" s="89"/>
      <c r="W53" s="320"/>
      <c r="X53" s="321"/>
      <c r="Y53" s="89"/>
      <c r="Z53" s="89"/>
      <c r="AA53" s="89"/>
      <c r="AB53" s="89"/>
      <c r="AC53" s="86"/>
      <c r="AD53" s="86"/>
      <c r="AE53" s="86"/>
      <c r="AF53" s="86"/>
      <c r="AG53" s="86"/>
      <c r="AH53" s="86"/>
      <c r="AI53" s="86"/>
      <c r="AJ53" s="86"/>
    </row>
    <row r="54" spans="1:41" s="319" customFormat="1" x14ac:dyDescent="0.2">
      <c r="A54" s="86"/>
      <c r="B54" s="86"/>
      <c r="C54" s="86"/>
      <c r="D54" s="86"/>
      <c r="E54" s="86"/>
      <c r="F54" s="86"/>
      <c r="G54" s="86"/>
      <c r="R54" s="89"/>
      <c r="S54" s="89"/>
      <c r="T54" s="89"/>
      <c r="U54" s="89"/>
      <c r="V54" s="89"/>
      <c r="W54" s="320"/>
      <c r="X54" s="321"/>
      <c r="Y54" s="89"/>
      <c r="Z54" s="89"/>
      <c r="AA54" s="89"/>
      <c r="AB54" s="89"/>
      <c r="AC54" s="86"/>
      <c r="AD54" s="86"/>
      <c r="AE54" s="86"/>
      <c r="AF54" s="86"/>
      <c r="AG54" s="86"/>
      <c r="AH54" s="86"/>
      <c r="AI54" s="86"/>
      <c r="AJ54" s="86"/>
    </row>
    <row r="55" spans="1:41" s="319" customFormat="1" x14ac:dyDescent="0.2">
      <c r="A55" s="86"/>
      <c r="B55" s="86"/>
      <c r="C55" s="86"/>
      <c r="D55" s="86"/>
      <c r="E55" s="86"/>
      <c r="F55" s="86"/>
      <c r="G55" s="86"/>
      <c r="R55" s="89"/>
      <c r="S55" s="89"/>
      <c r="T55" s="89"/>
      <c r="U55" s="89"/>
      <c r="V55" s="89"/>
      <c r="W55" s="320"/>
      <c r="X55" s="321"/>
      <c r="Y55" s="89"/>
      <c r="Z55" s="89"/>
      <c r="AA55" s="89"/>
      <c r="AB55" s="89"/>
      <c r="AC55" s="86"/>
      <c r="AD55" s="86"/>
      <c r="AE55" s="86"/>
      <c r="AF55" s="86"/>
      <c r="AG55" s="86"/>
      <c r="AH55" s="86"/>
      <c r="AI55" s="86"/>
      <c r="AJ55" s="86"/>
    </row>
    <row r="56" spans="1:41" s="319" customFormat="1" x14ac:dyDescent="0.2">
      <c r="A56" s="86"/>
      <c r="B56" s="86"/>
      <c r="C56" s="86"/>
      <c r="D56" s="86"/>
      <c r="E56" s="86"/>
      <c r="F56" s="86"/>
      <c r="G56" s="86"/>
      <c r="H56" s="86"/>
      <c r="I56" s="86"/>
      <c r="J56" s="86"/>
      <c r="U56" s="89"/>
      <c r="V56" s="89"/>
      <c r="W56" s="89"/>
      <c r="X56" s="89"/>
      <c r="Y56" s="89"/>
      <c r="Z56" s="320"/>
      <c r="AA56" s="321"/>
      <c r="AB56" s="89"/>
      <c r="AC56" s="89"/>
      <c r="AD56" s="89"/>
      <c r="AE56" s="89"/>
      <c r="AF56" s="86"/>
      <c r="AG56" s="86"/>
      <c r="AH56" s="86"/>
      <c r="AI56" s="86"/>
      <c r="AJ56" s="86"/>
      <c r="AK56" s="86"/>
      <c r="AL56" s="86"/>
      <c r="AM56" s="86"/>
    </row>
    <row r="57" spans="1:41" s="319" customFormat="1" x14ac:dyDescent="0.2">
      <c r="A57" s="86"/>
      <c r="B57" s="86"/>
      <c r="C57" s="86"/>
      <c r="D57" s="86"/>
      <c r="E57" s="86"/>
      <c r="F57" s="86"/>
      <c r="G57" s="86"/>
      <c r="H57" s="86"/>
      <c r="I57" s="86"/>
      <c r="J57" s="86"/>
      <c r="K57" s="86"/>
      <c r="L57" s="86"/>
      <c r="W57" s="89"/>
      <c r="X57" s="89"/>
      <c r="Y57" s="89"/>
      <c r="Z57" s="89"/>
      <c r="AA57" s="89"/>
      <c r="AB57" s="320"/>
      <c r="AC57" s="321"/>
      <c r="AD57" s="89"/>
      <c r="AE57" s="89"/>
      <c r="AF57" s="89"/>
      <c r="AG57" s="89"/>
      <c r="AH57" s="86"/>
      <c r="AI57" s="86"/>
      <c r="AJ57" s="86"/>
      <c r="AK57" s="86"/>
      <c r="AL57" s="86"/>
      <c r="AM57" s="86"/>
      <c r="AN57" s="86"/>
      <c r="AO57" s="86"/>
    </row>
    <row r="58" spans="1:41" s="319" customFormat="1" x14ac:dyDescent="0.2">
      <c r="A58" s="86"/>
      <c r="B58" s="86"/>
      <c r="C58" s="86"/>
      <c r="D58" s="86"/>
      <c r="E58" s="86"/>
      <c r="F58" s="86"/>
      <c r="G58" s="86"/>
      <c r="H58" s="86"/>
      <c r="I58" s="86"/>
      <c r="J58" s="86"/>
      <c r="K58" s="86"/>
      <c r="L58" s="86"/>
      <c r="W58" s="89"/>
      <c r="X58" s="89"/>
      <c r="Y58" s="89"/>
      <c r="Z58" s="89"/>
      <c r="AA58" s="89"/>
      <c r="AB58" s="320"/>
      <c r="AC58" s="321"/>
      <c r="AD58" s="89"/>
      <c r="AE58" s="89"/>
      <c r="AF58" s="89"/>
      <c r="AG58" s="89"/>
      <c r="AH58" s="86"/>
      <c r="AI58" s="86"/>
      <c r="AJ58" s="86"/>
      <c r="AK58" s="86"/>
      <c r="AL58" s="86"/>
      <c r="AM58" s="86"/>
      <c r="AN58" s="86"/>
      <c r="AO58" s="86"/>
    </row>
    <row r="59" spans="1:41" s="319" customFormat="1" x14ac:dyDescent="0.2">
      <c r="A59" s="86"/>
      <c r="B59" s="86"/>
      <c r="C59" s="86"/>
      <c r="D59" s="86"/>
      <c r="E59" s="86"/>
      <c r="F59" s="86"/>
      <c r="G59" s="86"/>
      <c r="H59" s="86"/>
      <c r="I59" s="86"/>
      <c r="J59" s="86"/>
      <c r="K59" s="86"/>
      <c r="L59" s="86"/>
      <c r="W59" s="89"/>
      <c r="X59" s="89"/>
      <c r="Y59" s="89"/>
      <c r="Z59" s="89"/>
      <c r="AA59" s="89"/>
      <c r="AB59" s="320"/>
      <c r="AC59" s="321"/>
      <c r="AD59" s="89"/>
      <c r="AE59" s="89"/>
      <c r="AF59" s="89"/>
      <c r="AG59" s="89"/>
      <c r="AH59" s="86"/>
      <c r="AI59" s="86"/>
      <c r="AJ59" s="86"/>
      <c r="AK59" s="86"/>
      <c r="AL59" s="86"/>
      <c r="AM59" s="86"/>
      <c r="AN59" s="86"/>
      <c r="AO59" s="86"/>
    </row>
    <row r="60" spans="1:41" s="319" customFormat="1" x14ac:dyDescent="0.2">
      <c r="A60" s="86"/>
      <c r="B60" s="86"/>
      <c r="C60" s="86"/>
      <c r="D60" s="86"/>
      <c r="E60" s="86"/>
      <c r="F60" s="86"/>
      <c r="G60" s="86"/>
      <c r="H60" s="86"/>
      <c r="I60" s="86"/>
      <c r="J60" s="86"/>
      <c r="K60" s="86"/>
      <c r="L60" s="86"/>
      <c r="W60" s="89"/>
      <c r="X60" s="89"/>
      <c r="Y60" s="89"/>
      <c r="Z60" s="89"/>
      <c r="AA60" s="89"/>
      <c r="AB60" s="320"/>
      <c r="AC60" s="321"/>
      <c r="AD60" s="89"/>
      <c r="AE60" s="89"/>
      <c r="AF60" s="89"/>
      <c r="AG60" s="89"/>
      <c r="AH60" s="86"/>
      <c r="AI60" s="86"/>
      <c r="AJ60" s="86"/>
      <c r="AK60" s="86"/>
      <c r="AL60" s="86"/>
      <c r="AM60" s="86"/>
      <c r="AN60" s="86"/>
      <c r="AO60" s="86"/>
    </row>
    <row r="61" spans="1:41" s="319" customFormat="1" x14ac:dyDescent="0.2">
      <c r="A61" s="86"/>
      <c r="B61" s="86"/>
      <c r="C61" s="86"/>
      <c r="D61" s="86"/>
      <c r="E61" s="86"/>
      <c r="F61" s="86"/>
      <c r="G61" s="86"/>
      <c r="H61" s="86"/>
      <c r="I61" s="86"/>
      <c r="J61" s="86"/>
      <c r="K61" s="86"/>
      <c r="L61" s="86"/>
      <c r="W61" s="89"/>
      <c r="X61" s="89"/>
      <c r="Y61" s="89"/>
      <c r="Z61" s="89"/>
      <c r="AA61" s="89"/>
      <c r="AB61" s="320"/>
      <c r="AC61" s="321"/>
      <c r="AD61" s="89"/>
      <c r="AE61" s="89"/>
      <c r="AF61" s="89"/>
      <c r="AG61" s="89"/>
      <c r="AH61" s="86"/>
      <c r="AI61" s="86"/>
      <c r="AJ61" s="86"/>
      <c r="AK61" s="86"/>
      <c r="AL61" s="86"/>
      <c r="AM61" s="86"/>
      <c r="AN61" s="86"/>
      <c r="AO61" s="86"/>
    </row>
    <row r="62" spans="1:41" s="319" customFormat="1" x14ac:dyDescent="0.2">
      <c r="A62" s="86"/>
      <c r="B62" s="86"/>
      <c r="C62" s="86"/>
      <c r="D62" s="86"/>
      <c r="E62" s="86"/>
      <c r="F62" s="86"/>
      <c r="G62" s="86"/>
      <c r="H62" s="86"/>
      <c r="I62" s="86"/>
      <c r="J62" s="86"/>
      <c r="K62" s="86"/>
      <c r="L62" s="86"/>
      <c r="W62" s="89"/>
      <c r="X62" s="89"/>
      <c r="Y62" s="89"/>
      <c r="Z62" s="89"/>
      <c r="AA62" s="89"/>
      <c r="AB62" s="320"/>
      <c r="AC62" s="321"/>
      <c r="AD62" s="89"/>
      <c r="AE62" s="89"/>
      <c r="AF62" s="89"/>
      <c r="AG62" s="89"/>
      <c r="AH62" s="86"/>
      <c r="AI62" s="86"/>
      <c r="AJ62" s="86"/>
      <c r="AK62" s="86"/>
      <c r="AL62" s="86"/>
      <c r="AM62" s="86"/>
      <c r="AN62" s="86"/>
      <c r="AO62" s="86"/>
    </row>
    <row r="63" spans="1:41" s="319" customFormat="1" x14ac:dyDescent="0.2">
      <c r="A63" s="86"/>
      <c r="B63" s="86"/>
      <c r="C63" s="86"/>
      <c r="D63" s="86"/>
      <c r="E63" s="86"/>
      <c r="F63" s="86"/>
      <c r="G63" s="86"/>
      <c r="H63" s="86"/>
      <c r="I63" s="86"/>
      <c r="J63" s="86"/>
      <c r="K63" s="86"/>
      <c r="L63" s="86"/>
      <c r="W63" s="89"/>
      <c r="X63" s="89"/>
      <c r="Y63" s="89"/>
      <c r="Z63" s="89"/>
      <c r="AA63" s="89"/>
      <c r="AB63" s="320"/>
      <c r="AC63" s="321"/>
      <c r="AD63" s="89"/>
      <c r="AE63" s="89"/>
      <c r="AF63" s="89"/>
      <c r="AG63" s="89"/>
      <c r="AH63" s="86"/>
      <c r="AI63" s="86"/>
      <c r="AJ63" s="86"/>
      <c r="AK63" s="86"/>
      <c r="AL63" s="86"/>
      <c r="AM63" s="86"/>
      <c r="AN63" s="86"/>
      <c r="AO63" s="86"/>
    </row>
    <row r="64" spans="1:41" s="319" customFormat="1" x14ac:dyDescent="0.2">
      <c r="A64" s="86"/>
      <c r="B64" s="86"/>
      <c r="C64" s="86"/>
      <c r="D64" s="86"/>
      <c r="E64" s="86"/>
      <c r="F64" s="86"/>
      <c r="G64" s="86"/>
      <c r="H64" s="86"/>
      <c r="I64" s="86"/>
      <c r="J64" s="86"/>
      <c r="K64" s="86"/>
      <c r="L64" s="86"/>
      <c r="W64" s="89"/>
      <c r="X64" s="89"/>
      <c r="Y64" s="89"/>
      <c r="Z64" s="89"/>
      <c r="AA64" s="89"/>
      <c r="AB64" s="320"/>
      <c r="AC64" s="321"/>
      <c r="AD64" s="89"/>
      <c r="AE64" s="89"/>
      <c r="AF64" s="89"/>
      <c r="AG64" s="89"/>
      <c r="AH64" s="86"/>
      <c r="AI64" s="86"/>
      <c r="AJ64" s="86"/>
      <c r="AK64" s="86"/>
      <c r="AL64" s="86"/>
      <c r="AM64" s="86"/>
      <c r="AN64" s="86"/>
      <c r="AO64" s="86"/>
    </row>
    <row r="65" spans="1:41" s="319" customFormat="1" x14ac:dyDescent="0.2">
      <c r="A65" s="86"/>
      <c r="B65" s="86"/>
      <c r="C65" s="86"/>
      <c r="D65" s="86"/>
      <c r="E65" s="86"/>
      <c r="F65" s="86"/>
      <c r="G65" s="86"/>
      <c r="H65" s="86"/>
      <c r="I65" s="86"/>
      <c r="J65" s="86"/>
      <c r="K65" s="86"/>
      <c r="L65" s="86"/>
      <c r="W65" s="89"/>
      <c r="X65" s="89"/>
      <c r="Y65" s="89"/>
      <c r="Z65" s="89"/>
      <c r="AA65" s="89"/>
      <c r="AB65" s="320"/>
      <c r="AC65" s="321"/>
      <c r="AD65" s="89"/>
      <c r="AE65" s="89"/>
      <c r="AF65" s="89"/>
      <c r="AG65" s="89"/>
      <c r="AH65" s="86"/>
      <c r="AI65" s="86"/>
      <c r="AJ65" s="86"/>
      <c r="AK65" s="86"/>
      <c r="AL65" s="86"/>
      <c r="AM65" s="86"/>
      <c r="AN65" s="86"/>
      <c r="AO65" s="86"/>
    </row>
    <row r="66" spans="1:41" s="319" customFormat="1" x14ac:dyDescent="0.2">
      <c r="A66" s="86"/>
      <c r="B66" s="86"/>
      <c r="C66" s="86"/>
      <c r="D66" s="86"/>
      <c r="E66" s="86"/>
      <c r="F66" s="86"/>
      <c r="G66" s="86"/>
      <c r="H66" s="86"/>
      <c r="I66" s="86"/>
      <c r="J66" s="86"/>
      <c r="K66" s="86"/>
      <c r="L66" s="86"/>
      <c r="W66" s="89"/>
      <c r="X66" s="89"/>
      <c r="Y66" s="89"/>
      <c r="Z66" s="89"/>
      <c r="AA66" s="89"/>
      <c r="AB66" s="320"/>
      <c r="AC66" s="321"/>
      <c r="AD66" s="89"/>
      <c r="AE66" s="89"/>
      <c r="AF66" s="89"/>
      <c r="AG66" s="89"/>
      <c r="AH66" s="86"/>
      <c r="AI66" s="86"/>
      <c r="AJ66" s="86"/>
      <c r="AK66" s="86"/>
      <c r="AL66" s="86"/>
      <c r="AM66" s="86"/>
      <c r="AN66" s="86"/>
      <c r="AO66" s="86"/>
    </row>
    <row r="67" spans="1:41" s="319" customFormat="1" x14ac:dyDescent="0.2">
      <c r="A67" s="86"/>
      <c r="B67" s="86"/>
      <c r="C67" s="86"/>
      <c r="D67" s="86"/>
      <c r="E67" s="86"/>
      <c r="F67" s="86"/>
      <c r="G67" s="86"/>
      <c r="H67" s="86"/>
      <c r="I67" s="86"/>
      <c r="J67" s="86"/>
      <c r="K67" s="86"/>
      <c r="L67" s="86"/>
      <c r="W67" s="89"/>
      <c r="X67" s="89"/>
      <c r="Y67" s="89"/>
      <c r="Z67" s="89"/>
      <c r="AA67" s="89"/>
      <c r="AB67" s="320"/>
      <c r="AC67" s="321"/>
      <c r="AD67" s="89"/>
      <c r="AE67" s="89"/>
      <c r="AF67" s="89"/>
      <c r="AG67" s="89"/>
      <c r="AH67" s="86"/>
      <c r="AI67" s="86"/>
      <c r="AJ67" s="86"/>
      <c r="AK67" s="86"/>
      <c r="AL67" s="86"/>
      <c r="AM67" s="86"/>
      <c r="AN67" s="86"/>
      <c r="AO67" s="86"/>
    </row>
    <row r="68" spans="1:41" s="319" customFormat="1" x14ac:dyDescent="0.2">
      <c r="A68" s="86"/>
      <c r="B68" s="86"/>
      <c r="C68" s="86"/>
      <c r="D68" s="86"/>
      <c r="E68" s="86"/>
      <c r="F68" s="86"/>
      <c r="G68" s="86"/>
      <c r="H68" s="86"/>
      <c r="I68" s="86"/>
      <c r="J68" s="86"/>
      <c r="K68" s="86"/>
      <c r="L68" s="86"/>
      <c r="W68" s="89"/>
      <c r="X68" s="89"/>
      <c r="Y68" s="89"/>
      <c r="Z68" s="89"/>
      <c r="AA68" s="89"/>
      <c r="AB68" s="320"/>
      <c r="AC68" s="321"/>
      <c r="AD68" s="89"/>
      <c r="AE68" s="89"/>
      <c r="AF68" s="89"/>
      <c r="AG68" s="89"/>
      <c r="AH68" s="86"/>
      <c r="AI68" s="86"/>
      <c r="AJ68" s="86"/>
      <c r="AK68" s="86"/>
      <c r="AL68" s="86"/>
      <c r="AM68" s="86"/>
      <c r="AN68" s="86"/>
      <c r="AO68" s="86"/>
    </row>
    <row r="69" spans="1:41" s="319" customFormat="1" x14ac:dyDescent="0.2">
      <c r="A69" s="86"/>
      <c r="B69" s="86"/>
      <c r="C69" s="86"/>
      <c r="D69" s="86"/>
      <c r="E69" s="86"/>
      <c r="F69" s="86"/>
      <c r="G69" s="86"/>
      <c r="H69" s="86"/>
      <c r="I69" s="86"/>
      <c r="J69" s="86"/>
      <c r="K69" s="86"/>
      <c r="L69" s="86"/>
      <c r="W69" s="89"/>
      <c r="X69" s="89"/>
      <c r="Y69" s="89"/>
      <c r="Z69" s="89"/>
      <c r="AA69" s="89"/>
      <c r="AB69" s="320"/>
      <c r="AC69" s="321"/>
      <c r="AD69" s="89"/>
      <c r="AE69" s="89"/>
      <c r="AF69" s="89"/>
      <c r="AG69" s="89"/>
      <c r="AH69" s="86"/>
      <c r="AI69" s="86"/>
      <c r="AJ69" s="86"/>
      <c r="AK69" s="86"/>
      <c r="AL69" s="86"/>
      <c r="AM69" s="86"/>
      <c r="AN69" s="86"/>
      <c r="AO69" s="86"/>
    </row>
    <row r="70" spans="1:41" s="319" customFormat="1" x14ac:dyDescent="0.2">
      <c r="A70" s="86"/>
      <c r="B70" s="86"/>
      <c r="C70" s="86"/>
      <c r="D70" s="86"/>
      <c r="E70" s="86"/>
      <c r="F70" s="86"/>
      <c r="G70" s="86"/>
      <c r="H70" s="86"/>
      <c r="I70" s="86"/>
      <c r="J70" s="86"/>
      <c r="K70" s="86"/>
      <c r="L70" s="86"/>
      <c r="W70" s="89"/>
      <c r="X70" s="89"/>
      <c r="Y70" s="89"/>
      <c r="Z70" s="89"/>
      <c r="AA70" s="89"/>
      <c r="AB70" s="320"/>
      <c r="AC70" s="321"/>
      <c r="AD70" s="89"/>
      <c r="AE70" s="89"/>
      <c r="AF70" s="89"/>
      <c r="AG70" s="89"/>
      <c r="AH70" s="86"/>
      <c r="AI70" s="86"/>
      <c r="AJ70" s="86"/>
      <c r="AK70" s="86"/>
      <c r="AL70" s="86"/>
      <c r="AM70" s="86"/>
      <c r="AN70" s="86"/>
      <c r="AO70" s="86"/>
    </row>
    <row r="71" spans="1:41" s="319" customFormat="1" x14ac:dyDescent="0.2">
      <c r="A71" s="86"/>
      <c r="B71" s="86"/>
      <c r="C71" s="86"/>
      <c r="D71" s="86"/>
      <c r="E71" s="86"/>
      <c r="F71" s="86"/>
      <c r="G71" s="86"/>
      <c r="H71" s="86"/>
      <c r="I71" s="86"/>
      <c r="J71" s="86"/>
      <c r="K71" s="86"/>
      <c r="L71" s="86"/>
      <c r="W71" s="89"/>
      <c r="X71" s="89"/>
      <c r="Y71" s="89"/>
      <c r="Z71" s="89"/>
      <c r="AA71" s="89"/>
      <c r="AB71" s="320"/>
      <c r="AC71" s="321"/>
      <c r="AD71" s="89"/>
      <c r="AE71" s="89"/>
      <c r="AF71" s="89"/>
      <c r="AG71" s="89"/>
      <c r="AH71" s="86"/>
      <c r="AI71" s="86"/>
      <c r="AJ71" s="86"/>
      <c r="AK71" s="86"/>
      <c r="AL71" s="86"/>
      <c r="AM71" s="86"/>
      <c r="AN71" s="86"/>
      <c r="AO71" s="86"/>
    </row>
    <row r="72" spans="1:41" s="319" customFormat="1" x14ac:dyDescent="0.2">
      <c r="A72" s="86"/>
      <c r="B72" s="86"/>
      <c r="C72" s="86"/>
      <c r="D72" s="86"/>
      <c r="E72" s="86"/>
      <c r="F72" s="86"/>
      <c r="G72" s="86"/>
      <c r="H72" s="86"/>
      <c r="I72" s="86"/>
      <c r="J72" s="86"/>
      <c r="K72" s="86"/>
      <c r="L72" s="86"/>
      <c r="W72" s="89"/>
      <c r="X72" s="89"/>
      <c r="Y72" s="89"/>
      <c r="Z72" s="89"/>
      <c r="AA72" s="89"/>
      <c r="AB72" s="320"/>
      <c r="AC72" s="321"/>
      <c r="AD72" s="89"/>
      <c r="AE72" s="89"/>
      <c r="AF72" s="89"/>
      <c r="AG72" s="89"/>
      <c r="AH72" s="86"/>
      <c r="AI72" s="86"/>
      <c r="AJ72" s="86"/>
      <c r="AK72" s="86"/>
      <c r="AL72" s="86"/>
      <c r="AM72" s="86"/>
      <c r="AN72" s="86"/>
      <c r="AO72" s="86"/>
    </row>
    <row r="73" spans="1:41" s="319" customFormat="1" x14ac:dyDescent="0.2">
      <c r="A73" s="86"/>
      <c r="B73" s="86"/>
      <c r="C73" s="86"/>
      <c r="D73" s="86"/>
      <c r="E73" s="86"/>
      <c r="F73" s="86"/>
      <c r="G73" s="86"/>
      <c r="H73" s="86"/>
      <c r="I73" s="86"/>
      <c r="J73" s="86"/>
      <c r="K73" s="86"/>
      <c r="L73" s="86"/>
      <c r="W73" s="89"/>
      <c r="X73" s="89"/>
      <c r="Y73" s="89"/>
      <c r="Z73" s="89"/>
      <c r="AA73" s="89"/>
      <c r="AB73" s="320"/>
      <c r="AC73" s="321"/>
      <c r="AD73" s="89"/>
      <c r="AE73" s="89"/>
      <c r="AF73" s="89"/>
      <c r="AG73" s="89"/>
      <c r="AH73" s="86"/>
      <c r="AI73" s="86"/>
      <c r="AJ73" s="86"/>
      <c r="AK73" s="86"/>
      <c r="AL73" s="86"/>
      <c r="AM73" s="86"/>
      <c r="AN73" s="86"/>
      <c r="AO73" s="86"/>
    </row>
    <row r="74" spans="1:41" s="319" customFormat="1" x14ac:dyDescent="0.2">
      <c r="A74" s="86"/>
      <c r="B74" s="86"/>
      <c r="C74" s="86"/>
      <c r="D74" s="86"/>
      <c r="E74" s="86"/>
      <c r="F74" s="86"/>
      <c r="G74" s="86"/>
      <c r="H74" s="86"/>
      <c r="I74" s="86"/>
      <c r="J74" s="86"/>
      <c r="K74" s="86"/>
      <c r="L74" s="86"/>
      <c r="W74" s="89"/>
      <c r="X74" s="89"/>
      <c r="Y74" s="89"/>
      <c r="Z74" s="89"/>
      <c r="AA74" s="89"/>
      <c r="AB74" s="320"/>
      <c r="AC74" s="321"/>
      <c r="AD74" s="89"/>
      <c r="AE74" s="89"/>
      <c r="AF74" s="89"/>
      <c r="AG74" s="89"/>
      <c r="AH74" s="86"/>
      <c r="AI74" s="86"/>
      <c r="AJ74" s="86"/>
      <c r="AK74" s="86"/>
      <c r="AL74" s="86"/>
      <c r="AM74" s="86"/>
      <c r="AN74" s="86"/>
      <c r="AO74" s="86"/>
    </row>
    <row r="75" spans="1:41" s="319" customFormat="1" x14ac:dyDescent="0.2">
      <c r="A75" s="86"/>
      <c r="B75" s="86"/>
      <c r="C75" s="86"/>
      <c r="D75" s="86"/>
      <c r="E75" s="86"/>
      <c r="F75" s="86"/>
      <c r="G75" s="86"/>
      <c r="H75" s="86"/>
      <c r="I75" s="86"/>
      <c r="J75" s="86"/>
      <c r="K75" s="86"/>
      <c r="L75" s="86"/>
      <c r="W75" s="89"/>
      <c r="X75" s="89"/>
      <c r="Y75" s="89"/>
      <c r="Z75" s="89"/>
      <c r="AA75" s="89"/>
      <c r="AB75" s="320"/>
      <c r="AC75" s="321"/>
      <c r="AD75" s="89"/>
      <c r="AE75" s="89"/>
      <c r="AF75" s="89"/>
      <c r="AG75" s="89"/>
      <c r="AH75" s="86"/>
      <c r="AI75" s="86"/>
      <c r="AJ75" s="86"/>
      <c r="AK75" s="86"/>
      <c r="AL75" s="86"/>
      <c r="AM75" s="86"/>
      <c r="AN75" s="86"/>
      <c r="AO75" s="86"/>
    </row>
    <row r="76" spans="1:41" s="319" customFormat="1" x14ac:dyDescent="0.2">
      <c r="A76" s="86"/>
      <c r="B76" s="86"/>
      <c r="C76" s="86"/>
      <c r="D76" s="86"/>
      <c r="E76" s="86"/>
      <c r="F76" s="86"/>
      <c r="G76" s="86"/>
      <c r="H76" s="86"/>
      <c r="I76" s="86"/>
      <c r="J76" s="86"/>
      <c r="K76" s="86"/>
      <c r="L76" s="86"/>
      <c r="W76" s="89"/>
      <c r="X76" s="89"/>
      <c r="Y76" s="89"/>
      <c r="Z76" s="89"/>
      <c r="AA76" s="89"/>
      <c r="AB76" s="320"/>
      <c r="AC76" s="321"/>
      <c r="AD76" s="89"/>
      <c r="AE76" s="89"/>
      <c r="AF76" s="89"/>
      <c r="AG76" s="89"/>
      <c r="AH76" s="86"/>
      <c r="AI76" s="86"/>
      <c r="AJ76" s="86"/>
      <c r="AK76" s="86"/>
      <c r="AL76" s="86"/>
      <c r="AM76" s="86"/>
      <c r="AN76" s="86"/>
      <c r="AO76" s="86"/>
    </row>
    <row r="77" spans="1:41" s="319" customFormat="1" x14ac:dyDescent="0.2">
      <c r="A77" s="86"/>
      <c r="B77" s="86"/>
      <c r="C77" s="86"/>
      <c r="D77" s="86"/>
      <c r="E77" s="86"/>
      <c r="F77" s="86"/>
      <c r="G77" s="86"/>
      <c r="H77" s="86"/>
      <c r="I77" s="86"/>
      <c r="J77" s="86"/>
      <c r="K77" s="86"/>
      <c r="L77" s="86"/>
      <c r="W77" s="89"/>
      <c r="X77" s="89"/>
      <c r="Y77" s="89"/>
      <c r="Z77" s="89"/>
      <c r="AA77" s="89"/>
      <c r="AB77" s="320"/>
      <c r="AC77" s="321"/>
      <c r="AD77" s="89"/>
      <c r="AE77" s="89"/>
      <c r="AF77" s="89"/>
      <c r="AG77" s="89"/>
      <c r="AH77" s="86"/>
      <c r="AI77" s="86"/>
      <c r="AJ77" s="86"/>
      <c r="AK77" s="86"/>
      <c r="AL77" s="86"/>
      <c r="AM77" s="86"/>
      <c r="AN77" s="86"/>
      <c r="AO77" s="86"/>
    </row>
    <row r="78" spans="1:41" s="319" customFormat="1" x14ac:dyDescent="0.2">
      <c r="A78" s="86"/>
      <c r="B78" s="86"/>
      <c r="C78" s="86"/>
      <c r="D78" s="86"/>
      <c r="E78" s="86"/>
      <c r="F78" s="86"/>
      <c r="G78" s="86"/>
      <c r="H78" s="86"/>
      <c r="I78" s="86"/>
      <c r="J78" s="86"/>
      <c r="K78" s="86"/>
      <c r="L78" s="86"/>
      <c r="W78" s="89"/>
      <c r="X78" s="89"/>
      <c r="Y78" s="89"/>
      <c r="Z78" s="89"/>
      <c r="AA78" s="89"/>
      <c r="AB78" s="320"/>
      <c r="AC78" s="321"/>
      <c r="AD78" s="89"/>
      <c r="AE78" s="89"/>
      <c r="AF78" s="89"/>
      <c r="AG78" s="89"/>
      <c r="AH78" s="86"/>
      <c r="AI78" s="86"/>
      <c r="AJ78" s="86"/>
      <c r="AK78" s="86"/>
      <c r="AL78" s="86"/>
      <c r="AM78" s="86"/>
      <c r="AN78" s="86"/>
      <c r="AO78" s="86"/>
    </row>
    <row r="79" spans="1:41" s="319" customFormat="1" x14ac:dyDescent="0.2">
      <c r="A79" s="86"/>
      <c r="B79" s="86"/>
      <c r="C79" s="86"/>
      <c r="D79" s="86"/>
      <c r="E79" s="86"/>
      <c r="F79" s="86"/>
      <c r="G79" s="86"/>
      <c r="H79" s="86"/>
      <c r="I79" s="86"/>
      <c r="J79" s="86"/>
      <c r="K79" s="86"/>
      <c r="L79" s="86"/>
      <c r="W79" s="89"/>
      <c r="X79" s="89"/>
      <c r="Y79" s="89"/>
      <c r="Z79" s="89"/>
      <c r="AA79" s="89"/>
      <c r="AB79" s="320"/>
      <c r="AC79" s="321"/>
      <c r="AD79" s="89"/>
      <c r="AE79" s="89"/>
      <c r="AF79" s="89"/>
      <c r="AG79" s="89"/>
      <c r="AH79" s="86"/>
      <c r="AI79" s="86"/>
      <c r="AJ79" s="86"/>
      <c r="AK79" s="86"/>
      <c r="AL79" s="86"/>
      <c r="AM79" s="86"/>
      <c r="AN79" s="86"/>
      <c r="AO79" s="86"/>
    </row>
    <row r="80" spans="1:41" s="319" customFormat="1" x14ac:dyDescent="0.2">
      <c r="A80" s="86"/>
      <c r="B80" s="86"/>
      <c r="C80" s="86"/>
      <c r="D80" s="86"/>
      <c r="E80" s="86"/>
      <c r="F80" s="86"/>
      <c r="G80" s="86"/>
      <c r="H80" s="86"/>
      <c r="I80" s="86"/>
      <c r="J80" s="86"/>
      <c r="K80" s="86"/>
      <c r="L80" s="86"/>
      <c r="W80" s="89"/>
      <c r="X80" s="89"/>
      <c r="Y80" s="89"/>
      <c r="Z80" s="89"/>
      <c r="AA80" s="89"/>
      <c r="AB80" s="320"/>
      <c r="AC80" s="321"/>
      <c r="AD80" s="89"/>
      <c r="AE80" s="89"/>
      <c r="AF80" s="89"/>
      <c r="AG80" s="89"/>
      <c r="AH80" s="86"/>
      <c r="AI80" s="86"/>
      <c r="AJ80" s="86"/>
      <c r="AK80" s="86"/>
      <c r="AL80" s="86"/>
      <c r="AM80" s="86"/>
      <c r="AN80" s="86"/>
      <c r="AO80" s="86"/>
    </row>
    <row r="81" spans="1:41" s="319" customFormat="1" x14ac:dyDescent="0.2">
      <c r="A81" s="86"/>
      <c r="B81" s="86"/>
      <c r="C81" s="86"/>
      <c r="D81" s="86"/>
      <c r="E81" s="86"/>
      <c r="F81" s="86"/>
      <c r="G81" s="86"/>
      <c r="H81" s="86"/>
      <c r="I81" s="86"/>
      <c r="J81" s="86"/>
      <c r="K81" s="86"/>
      <c r="L81" s="86"/>
      <c r="W81" s="89"/>
      <c r="X81" s="89"/>
      <c r="Y81" s="89"/>
      <c r="Z81" s="89"/>
      <c r="AA81" s="89"/>
      <c r="AB81" s="320"/>
      <c r="AC81" s="321"/>
      <c r="AD81" s="89"/>
      <c r="AE81" s="89"/>
      <c r="AF81" s="89"/>
      <c r="AG81" s="89"/>
      <c r="AH81" s="86"/>
      <c r="AI81" s="86"/>
      <c r="AJ81" s="86"/>
      <c r="AK81" s="86"/>
      <c r="AL81" s="86"/>
      <c r="AM81" s="86"/>
      <c r="AN81" s="86"/>
      <c r="AO81" s="86"/>
    </row>
    <row r="82" spans="1:41" s="319" customFormat="1" x14ac:dyDescent="0.2">
      <c r="A82" s="86"/>
      <c r="B82" s="86"/>
      <c r="C82" s="86"/>
      <c r="D82" s="86"/>
      <c r="E82" s="86"/>
      <c r="F82" s="86"/>
      <c r="G82" s="86"/>
      <c r="H82" s="86"/>
      <c r="I82" s="86"/>
      <c r="J82" s="86"/>
      <c r="K82" s="86"/>
      <c r="L82" s="86"/>
      <c r="W82" s="89"/>
      <c r="X82" s="89"/>
      <c r="Y82" s="89"/>
      <c r="Z82" s="89"/>
      <c r="AA82" s="89"/>
      <c r="AB82" s="320"/>
      <c r="AC82" s="321"/>
      <c r="AD82" s="89"/>
      <c r="AE82" s="89"/>
      <c r="AF82" s="89"/>
      <c r="AG82" s="89"/>
      <c r="AH82" s="86"/>
      <c r="AI82" s="86"/>
      <c r="AJ82" s="86"/>
      <c r="AK82" s="86"/>
      <c r="AL82" s="86"/>
      <c r="AM82" s="86"/>
      <c r="AN82" s="86"/>
      <c r="AO82" s="86"/>
    </row>
    <row r="83" spans="1:41" s="319" customFormat="1" x14ac:dyDescent="0.2">
      <c r="A83" s="86"/>
      <c r="B83" s="86"/>
      <c r="C83" s="86"/>
      <c r="D83" s="86"/>
      <c r="E83" s="86"/>
      <c r="F83" s="86"/>
      <c r="G83" s="86"/>
      <c r="H83" s="86"/>
      <c r="I83" s="86"/>
      <c r="J83" s="86"/>
      <c r="K83" s="86"/>
      <c r="L83" s="86"/>
      <c r="W83" s="89"/>
      <c r="X83" s="89"/>
      <c r="Y83" s="89"/>
      <c r="Z83" s="89"/>
      <c r="AA83" s="89"/>
      <c r="AB83" s="320"/>
      <c r="AC83" s="321"/>
      <c r="AD83" s="89"/>
      <c r="AE83" s="89"/>
      <c r="AF83" s="89"/>
      <c r="AG83" s="89"/>
      <c r="AH83" s="86"/>
      <c r="AI83" s="86"/>
      <c r="AJ83" s="86"/>
      <c r="AK83" s="86"/>
      <c r="AL83" s="86"/>
      <c r="AM83" s="86"/>
      <c r="AN83" s="86"/>
      <c r="AO83" s="86"/>
    </row>
    <row r="84" spans="1:41" s="319" customFormat="1" x14ac:dyDescent="0.2">
      <c r="A84" s="86"/>
      <c r="B84" s="86"/>
      <c r="C84" s="86"/>
      <c r="D84" s="86"/>
      <c r="E84" s="86"/>
      <c r="F84" s="86"/>
      <c r="G84" s="86"/>
      <c r="H84" s="86"/>
      <c r="I84" s="86"/>
      <c r="J84" s="86"/>
      <c r="K84" s="86"/>
      <c r="L84" s="86"/>
      <c r="W84" s="89"/>
      <c r="X84" s="89"/>
      <c r="Y84" s="89"/>
      <c r="Z84" s="89"/>
      <c r="AA84" s="89"/>
      <c r="AB84" s="320"/>
      <c r="AC84" s="321"/>
      <c r="AD84" s="89"/>
      <c r="AE84" s="89"/>
      <c r="AF84" s="89"/>
      <c r="AG84" s="89"/>
      <c r="AH84" s="86"/>
      <c r="AI84" s="86"/>
      <c r="AJ84" s="86"/>
      <c r="AK84" s="86"/>
      <c r="AL84" s="86"/>
      <c r="AM84" s="86"/>
      <c r="AN84" s="86"/>
      <c r="AO84" s="86"/>
    </row>
    <row r="85" spans="1:41" s="319" customFormat="1" x14ac:dyDescent="0.2">
      <c r="A85" s="86"/>
      <c r="B85" s="86"/>
      <c r="C85" s="86"/>
      <c r="D85" s="86"/>
      <c r="E85" s="86"/>
      <c r="F85" s="86"/>
      <c r="G85" s="86"/>
      <c r="H85" s="86"/>
      <c r="I85" s="86"/>
      <c r="J85" s="86"/>
      <c r="K85" s="86"/>
      <c r="L85" s="86"/>
      <c r="W85" s="89"/>
      <c r="X85" s="89"/>
      <c r="Y85" s="89"/>
      <c r="Z85" s="89"/>
      <c r="AA85" s="89"/>
      <c r="AB85" s="320"/>
      <c r="AC85" s="321"/>
      <c r="AD85" s="89"/>
      <c r="AE85" s="89"/>
      <c r="AF85" s="89"/>
      <c r="AG85" s="89"/>
      <c r="AH85" s="86"/>
      <c r="AI85" s="86"/>
      <c r="AJ85" s="86"/>
      <c r="AK85" s="86"/>
      <c r="AL85" s="86"/>
      <c r="AM85" s="86"/>
      <c r="AN85" s="86"/>
      <c r="AO85" s="86"/>
    </row>
    <row r="86" spans="1:41" s="319" customFormat="1" x14ac:dyDescent="0.2">
      <c r="A86" s="86"/>
      <c r="B86" s="86"/>
      <c r="C86" s="86"/>
      <c r="D86" s="86"/>
      <c r="E86" s="86"/>
      <c r="F86" s="86"/>
      <c r="G86" s="86"/>
      <c r="H86" s="86"/>
      <c r="I86" s="86"/>
      <c r="J86" s="86"/>
      <c r="K86" s="86"/>
      <c r="L86" s="86"/>
      <c r="W86" s="89"/>
      <c r="X86" s="89"/>
      <c r="Y86" s="89"/>
      <c r="Z86" s="89"/>
      <c r="AA86" s="89"/>
      <c r="AB86" s="320"/>
      <c r="AC86" s="321"/>
      <c r="AD86" s="89"/>
      <c r="AE86" s="89"/>
      <c r="AF86" s="89"/>
      <c r="AG86" s="89"/>
      <c r="AH86" s="86"/>
      <c r="AI86" s="86"/>
      <c r="AJ86" s="86"/>
      <c r="AK86" s="86"/>
      <c r="AL86" s="86"/>
      <c r="AM86" s="86"/>
      <c r="AN86" s="86"/>
      <c r="AO86" s="86"/>
    </row>
    <row r="87" spans="1:41" s="319" customFormat="1" x14ac:dyDescent="0.2">
      <c r="A87" s="86"/>
      <c r="B87" s="86"/>
      <c r="C87" s="86"/>
      <c r="D87" s="86"/>
      <c r="E87" s="86"/>
      <c r="F87" s="86"/>
      <c r="G87" s="86"/>
      <c r="H87" s="86"/>
      <c r="I87" s="86"/>
      <c r="J87" s="86"/>
      <c r="K87" s="86"/>
      <c r="L87" s="86"/>
      <c r="W87" s="89"/>
      <c r="X87" s="89"/>
      <c r="Y87" s="89"/>
      <c r="Z87" s="89"/>
      <c r="AA87" s="89"/>
      <c r="AB87" s="320"/>
      <c r="AC87" s="321"/>
      <c r="AD87" s="89"/>
      <c r="AE87" s="89"/>
      <c r="AF87" s="89"/>
      <c r="AG87" s="89"/>
      <c r="AH87" s="86"/>
      <c r="AI87" s="86"/>
      <c r="AJ87" s="86"/>
      <c r="AK87" s="86"/>
      <c r="AL87" s="86"/>
      <c r="AM87" s="86"/>
      <c r="AN87" s="86"/>
      <c r="AO87" s="86"/>
    </row>
    <row r="88" spans="1:41" s="319" customFormat="1" x14ac:dyDescent="0.2">
      <c r="A88" s="86"/>
      <c r="B88" s="86"/>
      <c r="C88" s="86"/>
      <c r="D88" s="86"/>
      <c r="E88" s="86"/>
      <c r="F88" s="86"/>
      <c r="G88" s="86"/>
      <c r="H88" s="86"/>
      <c r="I88" s="86"/>
      <c r="J88" s="86"/>
      <c r="K88" s="86"/>
      <c r="L88" s="86"/>
      <c r="W88" s="89"/>
      <c r="X88" s="89"/>
      <c r="Y88" s="89"/>
      <c r="Z88" s="89"/>
      <c r="AA88" s="89"/>
      <c r="AB88" s="320"/>
      <c r="AC88" s="321"/>
      <c r="AD88" s="89"/>
      <c r="AE88" s="89"/>
      <c r="AF88" s="89"/>
      <c r="AG88" s="89"/>
      <c r="AH88" s="86"/>
      <c r="AI88" s="86"/>
      <c r="AJ88" s="86"/>
      <c r="AK88" s="86"/>
      <c r="AL88" s="86"/>
      <c r="AM88" s="86"/>
      <c r="AN88" s="86"/>
      <c r="AO88" s="86"/>
    </row>
    <row r="89" spans="1:41" s="319" customFormat="1" x14ac:dyDescent="0.2">
      <c r="A89" s="86"/>
      <c r="B89" s="86"/>
      <c r="C89" s="86"/>
      <c r="D89" s="86"/>
      <c r="E89" s="86"/>
      <c r="F89" s="86"/>
      <c r="G89" s="86"/>
      <c r="H89" s="86"/>
      <c r="I89" s="86"/>
      <c r="J89" s="86"/>
      <c r="K89" s="86"/>
      <c r="L89" s="86"/>
      <c r="W89" s="89"/>
      <c r="X89" s="89"/>
      <c r="Y89" s="89"/>
      <c r="Z89" s="89"/>
      <c r="AA89" s="89"/>
      <c r="AB89" s="320"/>
      <c r="AC89" s="321"/>
      <c r="AD89" s="89"/>
      <c r="AE89" s="89"/>
      <c r="AF89" s="89"/>
      <c r="AG89" s="89"/>
      <c r="AH89" s="86"/>
      <c r="AI89" s="86"/>
      <c r="AJ89" s="86"/>
      <c r="AK89" s="86"/>
      <c r="AL89" s="86"/>
      <c r="AM89" s="86"/>
      <c r="AN89" s="86"/>
      <c r="AO89" s="86"/>
    </row>
    <row r="90" spans="1:41" s="319" customFormat="1" x14ac:dyDescent="0.2">
      <c r="A90" s="86"/>
      <c r="B90" s="86"/>
      <c r="C90" s="86"/>
      <c r="D90" s="86"/>
      <c r="E90" s="86"/>
      <c r="F90" s="86"/>
      <c r="G90" s="86"/>
      <c r="H90" s="86"/>
      <c r="I90" s="86"/>
      <c r="J90" s="86"/>
      <c r="K90" s="86"/>
      <c r="L90" s="86"/>
      <c r="W90" s="89"/>
      <c r="X90" s="89"/>
      <c r="Y90" s="89"/>
      <c r="Z90" s="89"/>
      <c r="AA90" s="89"/>
      <c r="AB90" s="320"/>
      <c r="AC90" s="321"/>
      <c r="AD90" s="89"/>
      <c r="AE90" s="89"/>
      <c r="AF90" s="89"/>
      <c r="AG90" s="89"/>
      <c r="AH90" s="86"/>
      <c r="AI90" s="86"/>
      <c r="AJ90" s="86"/>
      <c r="AK90" s="86"/>
      <c r="AL90" s="86"/>
      <c r="AM90" s="86"/>
      <c r="AN90" s="86"/>
      <c r="AO90" s="86"/>
    </row>
    <row r="91" spans="1:41" s="319" customFormat="1" x14ac:dyDescent="0.2">
      <c r="A91" s="86"/>
      <c r="B91" s="86"/>
      <c r="C91" s="86"/>
      <c r="D91" s="86"/>
      <c r="E91" s="86"/>
      <c r="F91" s="86"/>
      <c r="G91" s="86"/>
      <c r="H91" s="86"/>
      <c r="I91" s="86"/>
      <c r="J91" s="86"/>
      <c r="K91" s="86"/>
      <c r="L91" s="86"/>
      <c r="W91" s="89"/>
      <c r="X91" s="89"/>
      <c r="Y91" s="89"/>
      <c r="Z91" s="89"/>
      <c r="AA91" s="89"/>
      <c r="AB91" s="320"/>
      <c r="AC91" s="321"/>
      <c r="AD91" s="89"/>
      <c r="AE91" s="89"/>
      <c r="AF91" s="89"/>
      <c r="AG91" s="89"/>
      <c r="AH91" s="86"/>
      <c r="AI91" s="86"/>
      <c r="AJ91" s="86"/>
      <c r="AK91" s="86"/>
      <c r="AL91" s="86"/>
      <c r="AM91" s="86"/>
      <c r="AN91" s="86"/>
      <c r="AO91" s="86"/>
    </row>
    <row r="92" spans="1:41" s="319" customFormat="1" x14ac:dyDescent="0.2">
      <c r="A92" s="86"/>
      <c r="B92" s="86"/>
      <c r="C92" s="86"/>
      <c r="D92" s="86"/>
      <c r="E92" s="86"/>
      <c r="F92" s="86"/>
      <c r="G92" s="86"/>
      <c r="H92" s="86"/>
      <c r="I92" s="86"/>
      <c r="J92" s="86"/>
      <c r="K92" s="86"/>
      <c r="L92" s="86"/>
      <c r="W92" s="89"/>
      <c r="X92" s="89"/>
      <c r="Y92" s="89"/>
      <c r="Z92" s="89"/>
      <c r="AA92" s="89"/>
      <c r="AB92" s="320"/>
      <c r="AC92" s="321"/>
      <c r="AD92" s="89"/>
      <c r="AE92" s="89"/>
      <c r="AF92" s="89"/>
      <c r="AG92" s="89"/>
      <c r="AH92" s="86"/>
      <c r="AI92" s="86"/>
      <c r="AJ92" s="86"/>
      <c r="AK92" s="86"/>
      <c r="AL92" s="86"/>
      <c r="AM92" s="86"/>
      <c r="AN92" s="86"/>
      <c r="AO92" s="86"/>
    </row>
    <row r="93" spans="1:41" s="319" customFormat="1" x14ac:dyDescent="0.2">
      <c r="A93" s="86"/>
      <c r="B93" s="86"/>
      <c r="C93" s="86"/>
      <c r="D93" s="86"/>
      <c r="E93" s="86"/>
      <c r="F93" s="86"/>
      <c r="G93" s="86"/>
      <c r="H93" s="86"/>
      <c r="I93" s="86"/>
      <c r="J93" s="86"/>
      <c r="K93" s="86"/>
      <c r="L93" s="86"/>
      <c r="W93" s="89"/>
      <c r="X93" s="89"/>
      <c r="Y93" s="89"/>
      <c r="Z93" s="89"/>
      <c r="AA93" s="89"/>
      <c r="AB93" s="320"/>
      <c r="AC93" s="321"/>
      <c r="AD93" s="89"/>
      <c r="AE93" s="89"/>
      <c r="AF93" s="89"/>
      <c r="AG93" s="89"/>
      <c r="AH93" s="86"/>
      <c r="AI93" s="86"/>
      <c r="AJ93" s="86"/>
      <c r="AK93" s="86"/>
      <c r="AL93" s="86"/>
      <c r="AM93" s="86"/>
      <c r="AN93" s="86"/>
      <c r="AO93" s="86"/>
    </row>
    <row r="94" spans="1:41" s="319" customFormat="1" x14ac:dyDescent="0.2">
      <c r="A94" s="86"/>
      <c r="B94" s="86"/>
      <c r="C94" s="86"/>
      <c r="D94" s="86"/>
      <c r="E94" s="86"/>
      <c r="F94" s="86"/>
      <c r="G94" s="86"/>
      <c r="H94" s="86"/>
      <c r="I94" s="86"/>
      <c r="J94" s="86"/>
      <c r="K94" s="86"/>
      <c r="L94" s="86"/>
      <c r="W94" s="89"/>
      <c r="X94" s="89"/>
      <c r="Y94" s="89"/>
      <c r="Z94" s="89"/>
      <c r="AA94" s="89"/>
      <c r="AB94" s="320"/>
      <c r="AC94" s="321"/>
      <c r="AD94" s="89"/>
      <c r="AE94" s="89"/>
      <c r="AF94" s="89"/>
      <c r="AG94" s="89"/>
      <c r="AH94" s="86"/>
      <c r="AI94" s="86"/>
      <c r="AJ94" s="86"/>
      <c r="AK94" s="86"/>
      <c r="AL94" s="86"/>
      <c r="AM94" s="86"/>
      <c r="AN94" s="86"/>
      <c r="AO94" s="86"/>
    </row>
    <row r="95" spans="1:41" s="319" customFormat="1" x14ac:dyDescent="0.2">
      <c r="A95" s="86"/>
      <c r="B95" s="86"/>
      <c r="C95" s="86"/>
      <c r="D95" s="86"/>
      <c r="E95" s="86"/>
      <c r="F95" s="86"/>
      <c r="G95" s="86"/>
      <c r="H95" s="86"/>
      <c r="I95" s="86"/>
      <c r="J95" s="86"/>
      <c r="K95" s="86"/>
      <c r="L95" s="86"/>
      <c r="W95" s="89"/>
      <c r="X95" s="89"/>
      <c r="Y95" s="89"/>
      <c r="Z95" s="89"/>
      <c r="AA95" s="89"/>
      <c r="AB95" s="320"/>
      <c r="AC95" s="321"/>
      <c r="AD95" s="89"/>
      <c r="AE95" s="89"/>
      <c r="AF95" s="89"/>
      <c r="AG95" s="89"/>
      <c r="AH95" s="86"/>
      <c r="AI95" s="86"/>
      <c r="AJ95" s="86"/>
      <c r="AK95" s="86"/>
      <c r="AL95" s="86"/>
      <c r="AM95" s="86"/>
      <c r="AN95" s="86"/>
      <c r="AO95" s="86"/>
    </row>
    <row r="96" spans="1:41" s="319" customFormat="1" x14ac:dyDescent="0.2">
      <c r="A96" s="86"/>
      <c r="B96" s="86"/>
      <c r="C96" s="86"/>
      <c r="D96" s="86"/>
      <c r="E96" s="86"/>
      <c r="F96" s="86"/>
      <c r="G96" s="86"/>
      <c r="H96" s="86"/>
      <c r="I96" s="86"/>
      <c r="J96" s="86"/>
      <c r="K96" s="86"/>
      <c r="L96" s="86"/>
      <c r="W96" s="89"/>
      <c r="X96" s="89"/>
      <c r="Y96" s="89"/>
      <c r="Z96" s="89"/>
      <c r="AA96" s="89"/>
      <c r="AB96" s="320"/>
      <c r="AC96" s="321"/>
      <c r="AD96" s="89"/>
      <c r="AE96" s="89"/>
      <c r="AF96" s="89"/>
      <c r="AG96" s="89"/>
      <c r="AH96" s="86"/>
      <c r="AI96" s="86"/>
      <c r="AJ96" s="86"/>
      <c r="AK96" s="86"/>
      <c r="AL96" s="86"/>
      <c r="AM96" s="86"/>
      <c r="AN96" s="86"/>
      <c r="AO96" s="86"/>
    </row>
    <row r="97" spans="1:41" s="319" customFormat="1" x14ac:dyDescent="0.2">
      <c r="A97" s="86"/>
      <c r="B97" s="86"/>
      <c r="C97" s="86"/>
      <c r="D97" s="86"/>
      <c r="E97" s="86"/>
      <c r="F97" s="86"/>
      <c r="G97" s="86"/>
      <c r="H97" s="86"/>
      <c r="I97" s="86"/>
      <c r="J97" s="86"/>
      <c r="K97" s="86"/>
      <c r="L97" s="86"/>
      <c r="W97" s="89"/>
      <c r="X97" s="89"/>
      <c r="Y97" s="89"/>
      <c r="Z97" s="89"/>
      <c r="AA97" s="89"/>
      <c r="AB97" s="320"/>
      <c r="AC97" s="321"/>
      <c r="AD97" s="89"/>
      <c r="AE97" s="89"/>
      <c r="AF97" s="89"/>
      <c r="AG97" s="89"/>
      <c r="AH97" s="86"/>
      <c r="AI97" s="86"/>
      <c r="AJ97" s="86"/>
      <c r="AK97" s="86"/>
      <c r="AL97" s="86"/>
      <c r="AM97" s="86"/>
      <c r="AN97" s="86"/>
      <c r="AO97" s="86"/>
    </row>
    <row r="98" spans="1:41" s="319" customFormat="1" x14ac:dyDescent="0.2">
      <c r="A98" s="86"/>
      <c r="B98" s="86"/>
      <c r="C98" s="86"/>
      <c r="D98" s="86"/>
      <c r="E98" s="86"/>
      <c r="F98" s="86"/>
      <c r="G98" s="86"/>
      <c r="H98" s="86"/>
      <c r="I98" s="86"/>
      <c r="J98" s="86"/>
      <c r="K98" s="86"/>
      <c r="L98" s="86"/>
      <c r="W98" s="89"/>
      <c r="X98" s="89"/>
      <c r="Y98" s="89"/>
      <c r="Z98" s="89"/>
      <c r="AA98" s="89"/>
      <c r="AB98" s="320"/>
      <c r="AC98" s="321"/>
      <c r="AD98" s="89"/>
      <c r="AE98" s="89"/>
      <c r="AF98" s="89"/>
      <c r="AG98" s="89"/>
      <c r="AH98" s="86"/>
      <c r="AI98" s="86"/>
      <c r="AJ98" s="86"/>
      <c r="AK98" s="86"/>
      <c r="AL98" s="86"/>
      <c r="AM98" s="86"/>
      <c r="AN98" s="86"/>
      <c r="AO98" s="86"/>
    </row>
    <row r="99" spans="1:41" s="319" customFormat="1" x14ac:dyDescent="0.2">
      <c r="A99" s="86"/>
      <c r="B99" s="86"/>
      <c r="C99" s="86"/>
      <c r="D99" s="86"/>
      <c r="E99" s="86"/>
      <c r="F99" s="86"/>
      <c r="G99" s="86"/>
      <c r="H99" s="86"/>
      <c r="I99" s="86"/>
      <c r="J99" s="86"/>
      <c r="K99" s="86"/>
      <c r="L99" s="86"/>
      <c r="W99" s="89"/>
      <c r="X99" s="89"/>
      <c r="Y99" s="89"/>
      <c r="Z99" s="89"/>
      <c r="AA99" s="89"/>
      <c r="AB99" s="320"/>
      <c r="AC99" s="321"/>
      <c r="AD99" s="89"/>
      <c r="AE99" s="89"/>
      <c r="AF99" s="89"/>
      <c r="AG99" s="89"/>
      <c r="AH99" s="86"/>
      <c r="AI99" s="86"/>
      <c r="AJ99" s="86"/>
      <c r="AK99" s="86"/>
      <c r="AL99" s="86"/>
      <c r="AM99" s="86"/>
      <c r="AN99" s="86"/>
      <c r="AO99" s="86"/>
    </row>
    <row r="100" spans="1:41" s="319" customFormat="1" x14ac:dyDescent="0.2">
      <c r="A100" s="86"/>
      <c r="B100" s="86"/>
      <c r="C100" s="86"/>
      <c r="D100" s="86"/>
      <c r="E100" s="86"/>
      <c r="F100" s="86"/>
      <c r="G100" s="86"/>
      <c r="H100" s="86"/>
      <c r="I100" s="86"/>
      <c r="J100" s="86"/>
      <c r="K100" s="86"/>
      <c r="L100" s="86"/>
      <c r="W100" s="89"/>
      <c r="X100" s="89"/>
      <c r="Y100" s="89"/>
      <c r="Z100" s="89"/>
      <c r="AA100" s="89"/>
      <c r="AB100" s="320"/>
      <c r="AC100" s="321"/>
      <c r="AD100" s="89"/>
      <c r="AE100" s="89"/>
      <c r="AF100" s="89"/>
      <c r="AG100" s="89"/>
      <c r="AH100" s="86"/>
      <c r="AI100" s="86"/>
      <c r="AJ100" s="86"/>
      <c r="AK100" s="86"/>
      <c r="AL100" s="86"/>
      <c r="AM100" s="86"/>
      <c r="AN100" s="86"/>
      <c r="AO100" s="86"/>
    </row>
    <row r="101" spans="1:41" s="319" customFormat="1" x14ac:dyDescent="0.2">
      <c r="A101" s="86"/>
      <c r="B101" s="86"/>
      <c r="C101" s="86"/>
      <c r="D101" s="86"/>
      <c r="E101" s="86"/>
      <c r="F101" s="86"/>
      <c r="G101" s="86"/>
      <c r="H101" s="86"/>
      <c r="I101" s="86"/>
      <c r="J101" s="86"/>
      <c r="K101" s="86"/>
      <c r="L101" s="86"/>
      <c r="W101" s="89"/>
      <c r="X101" s="89"/>
      <c r="Y101" s="89"/>
      <c r="Z101" s="89"/>
      <c r="AA101" s="89"/>
      <c r="AB101" s="320"/>
      <c r="AC101" s="321"/>
      <c r="AD101" s="89"/>
      <c r="AE101" s="89"/>
      <c r="AF101" s="89"/>
      <c r="AG101" s="89"/>
      <c r="AH101" s="86"/>
      <c r="AI101" s="86"/>
      <c r="AJ101" s="86"/>
      <c r="AK101" s="86"/>
      <c r="AL101" s="86"/>
      <c r="AM101" s="86"/>
      <c r="AN101" s="86"/>
      <c r="AO101" s="86"/>
    </row>
    <row r="102" spans="1:41" s="319" customFormat="1" x14ac:dyDescent="0.2">
      <c r="A102" s="86"/>
      <c r="B102" s="86"/>
      <c r="C102" s="86"/>
      <c r="D102" s="86"/>
      <c r="E102" s="86"/>
      <c r="F102" s="86"/>
      <c r="G102" s="86"/>
      <c r="H102" s="86"/>
      <c r="I102" s="86"/>
      <c r="J102" s="86"/>
      <c r="K102" s="86"/>
      <c r="L102" s="86"/>
      <c r="W102" s="89"/>
      <c r="X102" s="89"/>
      <c r="Y102" s="89"/>
      <c r="Z102" s="89"/>
      <c r="AA102" s="89"/>
      <c r="AB102" s="320"/>
      <c r="AC102" s="321"/>
      <c r="AD102" s="89"/>
      <c r="AE102" s="89"/>
      <c r="AF102" s="89"/>
      <c r="AG102" s="89"/>
      <c r="AH102" s="86"/>
      <c r="AI102" s="86"/>
      <c r="AJ102" s="86"/>
      <c r="AK102" s="86"/>
      <c r="AL102" s="86"/>
      <c r="AM102" s="86"/>
      <c r="AN102" s="86"/>
      <c r="AO102" s="86"/>
    </row>
    <row r="103" spans="1:41" s="319" customFormat="1" x14ac:dyDescent="0.2">
      <c r="A103" s="86"/>
      <c r="B103" s="86"/>
      <c r="C103" s="86"/>
      <c r="D103" s="86"/>
      <c r="E103" s="86"/>
      <c r="F103" s="86"/>
      <c r="G103" s="86"/>
      <c r="H103" s="86"/>
      <c r="I103" s="86"/>
      <c r="J103" s="86"/>
      <c r="K103" s="86"/>
      <c r="L103" s="86"/>
      <c r="W103" s="89"/>
      <c r="X103" s="89"/>
      <c r="Y103" s="89"/>
      <c r="Z103" s="89"/>
      <c r="AA103" s="89"/>
      <c r="AB103" s="320"/>
      <c r="AC103" s="321"/>
      <c r="AD103" s="89"/>
      <c r="AE103" s="89"/>
      <c r="AF103" s="89"/>
      <c r="AG103" s="89"/>
      <c r="AH103" s="86"/>
      <c r="AI103" s="86"/>
      <c r="AJ103" s="86"/>
      <c r="AK103" s="86"/>
      <c r="AL103" s="86"/>
      <c r="AM103" s="86"/>
      <c r="AN103" s="86"/>
      <c r="AO103" s="86"/>
    </row>
    <row r="104" spans="1:41" s="319" customFormat="1" x14ac:dyDescent="0.2">
      <c r="A104" s="86"/>
      <c r="B104" s="86"/>
      <c r="C104" s="86"/>
      <c r="D104" s="86"/>
      <c r="E104" s="86"/>
      <c r="F104" s="86"/>
      <c r="G104" s="86"/>
      <c r="H104" s="86"/>
      <c r="I104" s="86"/>
      <c r="J104" s="86"/>
      <c r="K104" s="86"/>
      <c r="L104" s="86"/>
      <c r="W104" s="89"/>
      <c r="X104" s="89"/>
      <c r="Y104" s="89"/>
      <c r="Z104" s="89"/>
      <c r="AA104" s="89"/>
      <c r="AB104" s="320"/>
      <c r="AC104" s="321"/>
      <c r="AD104" s="89"/>
      <c r="AE104" s="89"/>
      <c r="AF104" s="89"/>
      <c r="AG104" s="89"/>
      <c r="AH104" s="86"/>
      <c r="AI104" s="86"/>
      <c r="AJ104" s="86"/>
      <c r="AK104" s="86"/>
      <c r="AL104" s="86"/>
      <c r="AM104" s="86"/>
      <c r="AN104" s="86"/>
      <c r="AO104" s="86"/>
    </row>
    <row r="105" spans="1:41" s="319" customFormat="1" x14ac:dyDescent="0.2">
      <c r="A105" s="86"/>
      <c r="B105" s="86"/>
      <c r="C105" s="86"/>
      <c r="D105" s="86"/>
      <c r="E105" s="86"/>
      <c r="F105" s="86"/>
      <c r="G105" s="86"/>
      <c r="H105" s="86"/>
      <c r="I105" s="86"/>
      <c r="J105" s="86"/>
      <c r="K105" s="86"/>
      <c r="L105" s="86"/>
      <c r="W105" s="89"/>
      <c r="X105" s="89"/>
      <c r="Y105" s="89"/>
      <c r="Z105" s="89"/>
      <c r="AA105" s="89"/>
      <c r="AB105" s="320"/>
      <c r="AC105" s="321"/>
      <c r="AD105" s="89"/>
      <c r="AE105" s="89"/>
      <c r="AF105" s="89"/>
      <c r="AG105" s="89"/>
      <c r="AH105" s="86"/>
      <c r="AI105" s="86"/>
      <c r="AJ105" s="86"/>
      <c r="AK105" s="86"/>
      <c r="AL105" s="86"/>
      <c r="AM105" s="86"/>
      <c r="AN105" s="86"/>
      <c r="AO105" s="86"/>
    </row>
    <row r="106" spans="1:41" s="319" customFormat="1" x14ac:dyDescent="0.2">
      <c r="A106" s="86"/>
      <c r="B106" s="86"/>
      <c r="C106" s="86"/>
      <c r="D106" s="86"/>
      <c r="E106" s="86"/>
      <c r="F106" s="86"/>
      <c r="G106" s="86"/>
      <c r="H106" s="86"/>
      <c r="I106" s="86"/>
      <c r="J106" s="86"/>
      <c r="K106" s="86"/>
      <c r="L106" s="86"/>
      <c r="W106" s="89"/>
      <c r="X106" s="89"/>
      <c r="Y106" s="89"/>
      <c r="Z106" s="89"/>
      <c r="AA106" s="89"/>
      <c r="AB106" s="320"/>
      <c r="AC106" s="321"/>
      <c r="AD106" s="89"/>
      <c r="AE106" s="89"/>
      <c r="AF106" s="89"/>
      <c r="AG106" s="89"/>
      <c r="AH106" s="86"/>
      <c r="AI106" s="86"/>
      <c r="AJ106" s="86"/>
      <c r="AK106" s="86"/>
      <c r="AL106" s="86"/>
      <c r="AM106" s="86"/>
      <c r="AN106" s="86"/>
      <c r="AO106" s="86"/>
    </row>
    <row r="107" spans="1:41" s="319" customFormat="1" x14ac:dyDescent="0.2">
      <c r="A107" s="86"/>
      <c r="B107" s="86"/>
      <c r="C107" s="86"/>
      <c r="D107" s="86"/>
      <c r="E107" s="86"/>
      <c r="F107" s="86"/>
      <c r="G107" s="86"/>
      <c r="H107" s="86"/>
      <c r="I107" s="86"/>
      <c r="J107" s="86"/>
      <c r="K107" s="86"/>
      <c r="L107" s="86"/>
      <c r="W107" s="89"/>
      <c r="X107" s="89"/>
      <c r="Y107" s="89"/>
      <c r="Z107" s="89"/>
      <c r="AA107" s="89"/>
      <c r="AB107" s="320"/>
      <c r="AC107" s="321"/>
      <c r="AD107" s="89"/>
      <c r="AE107" s="89"/>
      <c r="AF107" s="89"/>
      <c r="AG107" s="89"/>
      <c r="AH107" s="86"/>
      <c r="AI107" s="86"/>
      <c r="AJ107" s="86"/>
      <c r="AK107" s="86"/>
      <c r="AL107" s="86"/>
      <c r="AM107" s="86"/>
      <c r="AN107" s="86"/>
      <c r="AO107" s="86"/>
    </row>
    <row r="108" spans="1:41" s="319" customFormat="1" x14ac:dyDescent="0.2">
      <c r="A108" s="86"/>
      <c r="B108" s="86"/>
      <c r="C108" s="86"/>
      <c r="D108" s="86"/>
      <c r="E108" s="86"/>
      <c r="F108" s="86"/>
      <c r="G108" s="86"/>
      <c r="H108" s="86"/>
      <c r="I108" s="86"/>
      <c r="J108" s="86"/>
      <c r="K108" s="86"/>
      <c r="L108" s="86"/>
      <c r="W108" s="89"/>
      <c r="X108" s="89"/>
      <c r="Y108" s="89"/>
      <c r="Z108" s="89"/>
      <c r="AA108" s="89"/>
      <c r="AB108" s="320"/>
      <c r="AC108" s="321"/>
      <c r="AD108" s="89"/>
      <c r="AE108" s="89"/>
      <c r="AF108" s="89"/>
      <c r="AG108" s="89"/>
      <c r="AH108" s="86"/>
      <c r="AI108" s="86"/>
      <c r="AJ108" s="86"/>
      <c r="AK108" s="86"/>
      <c r="AL108" s="86"/>
      <c r="AM108" s="86"/>
      <c r="AN108" s="86"/>
      <c r="AO108" s="86"/>
    </row>
    <row r="109" spans="1:41" s="319" customFormat="1" x14ac:dyDescent="0.2">
      <c r="A109" s="86"/>
      <c r="B109" s="86"/>
      <c r="C109" s="86"/>
      <c r="D109" s="86"/>
      <c r="E109" s="86"/>
      <c r="F109" s="86"/>
      <c r="G109" s="86"/>
      <c r="H109" s="86"/>
      <c r="I109" s="86"/>
      <c r="J109" s="86"/>
      <c r="K109" s="86"/>
      <c r="L109" s="86"/>
      <c r="W109" s="89"/>
      <c r="X109" s="89"/>
      <c r="Y109" s="89"/>
      <c r="Z109" s="89"/>
      <c r="AA109" s="89"/>
      <c r="AB109" s="320"/>
      <c r="AC109" s="321"/>
      <c r="AD109" s="89"/>
      <c r="AE109" s="89"/>
      <c r="AF109" s="89"/>
      <c r="AG109" s="89"/>
      <c r="AH109" s="86"/>
      <c r="AI109" s="86"/>
      <c r="AJ109" s="86"/>
      <c r="AK109" s="86"/>
      <c r="AL109" s="86"/>
      <c r="AM109" s="86"/>
      <c r="AN109" s="86"/>
      <c r="AO109" s="86"/>
    </row>
    <row r="110" spans="1:41" s="319" customFormat="1" x14ac:dyDescent="0.2">
      <c r="A110" s="86"/>
      <c r="B110" s="86"/>
      <c r="C110" s="86"/>
      <c r="D110" s="86"/>
      <c r="E110" s="86"/>
      <c r="F110" s="86"/>
      <c r="G110" s="86"/>
      <c r="H110" s="86"/>
      <c r="I110" s="86"/>
      <c r="J110" s="86"/>
      <c r="K110" s="86"/>
      <c r="L110" s="86"/>
      <c r="W110" s="89"/>
      <c r="X110" s="89"/>
      <c r="Y110" s="89"/>
      <c r="Z110" s="89"/>
      <c r="AA110" s="89"/>
      <c r="AB110" s="320"/>
      <c r="AC110" s="321"/>
      <c r="AD110" s="89"/>
      <c r="AE110" s="89"/>
      <c r="AF110" s="89"/>
      <c r="AG110" s="89"/>
      <c r="AH110" s="86"/>
      <c r="AI110" s="86"/>
      <c r="AJ110" s="86"/>
      <c r="AK110" s="86"/>
      <c r="AL110" s="86"/>
      <c r="AM110" s="86"/>
      <c r="AN110" s="86"/>
      <c r="AO110" s="86"/>
    </row>
    <row r="111" spans="1:41" s="319" customFormat="1" x14ac:dyDescent="0.2">
      <c r="A111" s="86"/>
      <c r="B111" s="86"/>
      <c r="C111" s="86"/>
      <c r="D111" s="86"/>
      <c r="E111" s="86"/>
      <c r="F111" s="86"/>
      <c r="G111" s="86"/>
      <c r="H111" s="86"/>
      <c r="I111" s="86"/>
      <c r="J111" s="86"/>
      <c r="K111" s="86"/>
      <c r="L111" s="86"/>
      <c r="W111" s="89"/>
      <c r="X111" s="89"/>
      <c r="Y111" s="89"/>
      <c r="Z111" s="89"/>
      <c r="AA111" s="89"/>
      <c r="AB111" s="320"/>
      <c r="AC111" s="321"/>
      <c r="AD111" s="89"/>
      <c r="AE111" s="89"/>
      <c r="AF111" s="89"/>
      <c r="AG111" s="89"/>
      <c r="AH111" s="86"/>
      <c r="AI111" s="86"/>
      <c r="AJ111" s="86"/>
      <c r="AK111" s="86"/>
      <c r="AL111" s="86"/>
      <c r="AM111" s="86"/>
      <c r="AN111" s="86"/>
      <c r="AO111" s="86"/>
    </row>
    <row r="112" spans="1:41" s="319" customFormat="1" x14ac:dyDescent="0.2">
      <c r="A112" s="86"/>
      <c r="B112" s="86"/>
      <c r="C112" s="86"/>
      <c r="D112" s="86"/>
      <c r="E112" s="86"/>
      <c r="F112" s="86"/>
      <c r="G112" s="86"/>
      <c r="H112" s="86"/>
      <c r="I112" s="86"/>
      <c r="J112" s="86"/>
      <c r="K112" s="86"/>
      <c r="L112" s="86"/>
      <c r="W112" s="89"/>
      <c r="X112" s="89"/>
      <c r="Y112" s="89"/>
      <c r="Z112" s="89"/>
      <c r="AA112" s="89"/>
      <c r="AB112" s="320"/>
      <c r="AC112" s="321"/>
      <c r="AD112" s="89"/>
      <c r="AE112" s="89"/>
      <c r="AF112" s="89"/>
      <c r="AG112" s="89"/>
      <c r="AH112" s="86"/>
      <c r="AI112" s="86"/>
      <c r="AJ112" s="86"/>
      <c r="AK112" s="86"/>
      <c r="AL112" s="86"/>
      <c r="AM112" s="86"/>
      <c r="AN112" s="86"/>
      <c r="AO112" s="86"/>
    </row>
    <row r="113" spans="1:41" s="319" customFormat="1" x14ac:dyDescent="0.2">
      <c r="A113" s="86"/>
      <c r="B113" s="86"/>
      <c r="C113" s="86"/>
      <c r="D113" s="86"/>
      <c r="E113" s="86"/>
      <c r="F113" s="86"/>
      <c r="G113" s="86"/>
      <c r="H113" s="86"/>
      <c r="I113" s="86"/>
      <c r="J113" s="86"/>
      <c r="K113" s="86"/>
      <c r="L113" s="86"/>
      <c r="W113" s="89"/>
      <c r="X113" s="89"/>
      <c r="Y113" s="89"/>
      <c r="Z113" s="89"/>
      <c r="AA113" s="89"/>
      <c r="AB113" s="320"/>
      <c r="AC113" s="321"/>
      <c r="AD113" s="89"/>
      <c r="AE113" s="89"/>
      <c r="AF113" s="89"/>
      <c r="AG113" s="89"/>
      <c r="AH113" s="86"/>
      <c r="AI113" s="86"/>
      <c r="AJ113" s="86"/>
      <c r="AK113" s="86"/>
      <c r="AL113" s="86"/>
      <c r="AM113" s="86"/>
      <c r="AN113" s="86"/>
      <c r="AO113" s="86"/>
    </row>
    <row r="114" spans="1:41" s="319" customFormat="1" x14ac:dyDescent="0.2">
      <c r="A114" s="86"/>
      <c r="B114" s="86"/>
      <c r="C114" s="86"/>
      <c r="D114" s="86"/>
      <c r="E114" s="86"/>
      <c r="F114" s="86"/>
      <c r="G114" s="86"/>
      <c r="H114" s="86"/>
      <c r="I114" s="86"/>
      <c r="J114" s="86"/>
      <c r="K114" s="86"/>
      <c r="L114" s="86"/>
      <c r="W114" s="89"/>
      <c r="X114" s="89"/>
      <c r="Y114" s="89"/>
      <c r="Z114" s="89"/>
      <c r="AA114" s="89"/>
      <c r="AB114" s="320"/>
      <c r="AC114" s="321"/>
      <c r="AD114" s="89"/>
      <c r="AE114" s="89"/>
      <c r="AF114" s="89"/>
      <c r="AG114" s="89"/>
      <c r="AH114" s="86"/>
      <c r="AI114" s="86"/>
      <c r="AJ114" s="86"/>
      <c r="AK114" s="86"/>
      <c r="AL114" s="86"/>
      <c r="AM114" s="86"/>
      <c r="AN114" s="86"/>
      <c r="AO114" s="86"/>
    </row>
    <row r="115" spans="1:41" s="319" customFormat="1" x14ac:dyDescent="0.2">
      <c r="A115" s="86"/>
      <c r="B115" s="86"/>
      <c r="C115" s="86"/>
      <c r="D115" s="86"/>
      <c r="E115" s="86"/>
      <c r="F115" s="86"/>
      <c r="G115" s="86"/>
      <c r="H115" s="86"/>
      <c r="I115" s="86"/>
      <c r="J115" s="86"/>
      <c r="K115" s="86"/>
      <c r="L115" s="86"/>
      <c r="W115" s="89"/>
      <c r="X115" s="89"/>
      <c r="Y115" s="89"/>
      <c r="Z115" s="89"/>
      <c r="AA115" s="89"/>
      <c r="AB115" s="320"/>
      <c r="AC115" s="321"/>
      <c r="AD115" s="89"/>
      <c r="AE115" s="89"/>
      <c r="AF115" s="89"/>
      <c r="AG115" s="89"/>
      <c r="AH115" s="86"/>
      <c r="AI115" s="86"/>
      <c r="AJ115" s="86"/>
      <c r="AK115" s="86"/>
      <c r="AL115" s="86"/>
      <c r="AM115" s="86"/>
      <c r="AN115" s="86"/>
      <c r="AO115" s="86"/>
    </row>
    <row r="116" spans="1:41" s="319" customFormat="1" x14ac:dyDescent="0.2">
      <c r="A116" s="86"/>
      <c r="B116" s="86"/>
      <c r="C116" s="86"/>
      <c r="D116" s="86"/>
      <c r="E116" s="86"/>
      <c r="F116" s="86"/>
      <c r="G116" s="86"/>
      <c r="H116" s="86"/>
      <c r="I116" s="86"/>
      <c r="J116" s="86"/>
      <c r="K116" s="86"/>
      <c r="L116" s="86"/>
      <c r="W116" s="89"/>
      <c r="X116" s="89"/>
      <c r="Y116" s="89"/>
      <c r="Z116" s="89"/>
      <c r="AA116" s="89"/>
      <c r="AB116" s="320"/>
      <c r="AC116" s="321"/>
      <c r="AD116" s="89"/>
      <c r="AE116" s="89"/>
      <c r="AF116" s="89"/>
      <c r="AG116" s="89"/>
      <c r="AH116" s="86"/>
      <c r="AI116" s="86"/>
      <c r="AJ116" s="86"/>
      <c r="AK116" s="86"/>
      <c r="AL116" s="86"/>
      <c r="AM116" s="86"/>
      <c r="AN116" s="86"/>
      <c r="AO116" s="86"/>
    </row>
    <row r="117" spans="1:41" s="319" customFormat="1" x14ac:dyDescent="0.2">
      <c r="A117" s="86"/>
      <c r="B117" s="86"/>
      <c r="C117" s="86"/>
      <c r="D117" s="86"/>
      <c r="E117" s="86"/>
      <c r="F117" s="86"/>
      <c r="G117" s="86"/>
      <c r="H117" s="86"/>
      <c r="I117" s="86"/>
      <c r="J117" s="86"/>
      <c r="K117" s="86"/>
      <c r="L117" s="86"/>
      <c r="W117" s="89"/>
      <c r="X117" s="89"/>
      <c r="Y117" s="89"/>
      <c r="Z117" s="89"/>
      <c r="AA117" s="89"/>
      <c r="AB117" s="320"/>
      <c r="AC117" s="321"/>
      <c r="AD117" s="89"/>
      <c r="AE117" s="89"/>
      <c r="AF117" s="89"/>
      <c r="AG117" s="89"/>
      <c r="AH117" s="86"/>
      <c r="AI117" s="86"/>
      <c r="AJ117" s="86"/>
      <c r="AK117" s="86"/>
      <c r="AL117" s="86"/>
      <c r="AM117" s="86"/>
      <c r="AN117" s="86"/>
      <c r="AO117" s="86"/>
    </row>
    <row r="118" spans="1:41" s="319" customFormat="1" x14ac:dyDescent="0.2">
      <c r="A118" s="86"/>
      <c r="B118" s="86"/>
      <c r="C118" s="86"/>
      <c r="D118" s="86"/>
      <c r="E118" s="86"/>
      <c r="F118" s="86"/>
      <c r="G118" s="86"/>
      <c r="H118" s="86"/>
      <c r="I118" s="86"/>
      <c r="J118" s="86"/>
      <c r="K118" s="86"/>
      <c r="L118" s="86"/>
      <c r="W118" s="89"/>
      <c r="X118" s="89"/>
      <c r="Y118" s="89"/>
      <c r="Z118" s="89"/>
      <c r="AA118" s="89"/>
      <c r="AB118" s="320"/>
      <c r="AC118" s="321"/>
      <c r="AD118" s="89"/>
      <c r="AE118" s="89"/>
      <c r="AF118" s="89"/>
      <c r="AG118" s="89"/>
      <c r="AH118" s="86"/>
      <c r="AI118" s="86"/>
      <c r="AJ118" s="86"/>
      <c r="AK118" s="86"/>
      <c r="AL118" s="86"/>
      <c r="AM118" s="86"/>
      <c r="AN118" s="86"/>
      <c r="AO118" s="86"/>
    </row>
    <row r="119" spans="1:41" s="319" customFormat="1" x14ac:dyDescent="0.2">
      <c r="A119" s="86"/>
      <c r="B119" s="86"/>
      <c r="C119" s="86"/>
      <c r="D119" s="86"/>
      <c r="E119" s="86"/>
      <c r="F119" s="86"/>
      <c r="G119" s="86"/>
      <c r="H119" s="86"/>
      <c r="I119" s="86"/>
      <c r="J119" s="86"/>
      <c r="K119" s="86"/>
      <c r="L119" s="86"/>
      <c r="W119" s="89"/>
      <c r="X119" s="89"/>
      <c r="Y119" s="89"/>
      <c r="Z119" s="89"/>
      <c r="AA119" s="89"/>
      <c r="AB119" s="320"/>
      <c r="AC119" s="321"/>
      <c r="AD119" s="89"/>
      <c r="AE119" s="89"/>
      <c r="AF119" s="89"/>
      <c r="AG119" s="89"/>
      <c r="AH119" s="86"/>
      <c r="AI119" s="86"/>
      <c r="AJ119" s="86"/>
      <c r="AK119" s="86"/>
      <c r="AL119" s="86"/>
      <c r="AM119" s="86"/>
      <c r="AN119" s="86"/>
      <c r="AO119" s="86"/>
    </row>
    <row r="120" spans="1:41" s="319" customFormat="1" x14ac:dyDescent="0.2">
      <c r="A120" s="86"/>
      <c r="B120" s="86"/>
      <c r="C120" s="86"/>
      <c r="D120" s="86"/>
      <c r="E120" s="86"/>
      <c r="F120" s="86"/>
      <c r="G120" s="86"/>
      <c r="H120" s="86"/>
      <c r="I120" s="86"/>
      <c r="J120" s="86"/>
      <c r="K120" s="86"/>
      <c r="L120" s="86"/>
      <c r="W120" s="89"/>
      <c r="X120" s="89"/>
      <c r="Y120" s="89"/>
      <c r="Z120" s="89"/>
      <c r="AA120" s="89"/>
      <c r="AB120" s="320"/>
      <c r="AC120" s="321"/>
      <c r="AD120" s="89"/>
      <c r="AE120" s="89"/>
      <c r="AF120" s="89"/>
      <c r="AG120" s="89"/>
      <c r="AH120" s="86"/>
      <c r="AI120" s="86"/>
      <c r="AJ120" s="86"/>
      <c r="AK120" s="86"/>
      <c r="AL120" s="86"/>
      <c r="AM120" s="86"/>
      <c r="AN120" s="86"/>
      <c r="AO120" s="86"/>
    </row>
    <row r="121" spans="1:41" s="319" customFormat="1" x14ac:dyDescent="0.2">
      <c r="A121" s="86"/>
      <c r="B121" s="86"/>
      <c r="C121" s="86"/>
      <c r="D121" s="86"/>
      <c r="E121" s="86"/>
      <c r="F121" s="86"/>
      <c r="G121" s="86"/>
      <c r="H121" s="86"/>
      <c r="I121" s="86"/>
      <c r="J121" s="86"/>
      <c r="K121" s="86"/>
      <c r="L121" s="86"/>
      <c r="W121" s="89"/>
      <c r="X121" s="89"/>
      <c r="Y121" s="89"/>
      <c r="Z121" s="89"/>
      <c r="AA121" s="89"/>
      <c r="AB121" s="320"/>
      <c r="AC121" s="321"/>
      <c r="AD121" s="89"/>
      <c r="AE121" s="89"/>
      <c r="AF121" s="89"/>
      <c r="AG121" s="89"/>
      <c r="AH121" s="86"/>
      <c r="AI121" s="86"/>
      <c r="AJ121" s="86"/>
      <c r="AK121" s="86"/>
      <c r="AL121" s="86"/>
      <c r="AM121" s="86"/>
      <c r="AN121" s="86"/>
      <c r="AO121" s="86"/>
    </row>
    <row r="122" spans="1:41" s="319" customFormat="1" x14ac:dyDescent="0.2">
      <c r="A122" s="86"/>
      <c r="B122" s="86"/>
      <c r="C122" s="86"/>
      <c r="D122" s="86"/>
      <c r="E122" s="86"/>
      <c r="F122" s="86"/>
      <c r="G122" s="86"/>
      <c r="H122" s="86"/>
      <c r="I122" s="86"/>
      <c r="J122" s="86"/>
      <c r="K122" s="86"/>
      <c r="L122" s="86"/>
      <c r="W122" s="89"/>
      <c r="X122" s="89"/>
      <c r="Y122" s="89"/>
      <c r="Z122" s="89"/>
      <c r="AA122" s="89"/>
      <c r="AB122" s="320"/>
      <c r="AC122" s="321"/>
      <c r="AD122" s="89"/>
      <c r="AE122" s="89"/>
      <c r="AF122" s="89"/>
      <c r="AG122" s="89"/>
      <c r="AH122" s="86"/>
      <c r="AI122" s="86"/>
      <c r="AJ122" s="86"/>
      <c r="AK122" s="86"/>
      <c r="AL122" s="86"/>
      <c r="AM122" s="86"/>
      <c r="AN122" s="86"/>
      <c r="AO122" s="86"/>
    </row>
    <row r="123" spans="1:41" s="319" customFormat="1" x14ac:dyDescent="0.2">
      <c r="A123" s="86"/>
      <c r="B123" s="86"/>
      <c r="C123" s="86"/>
      <c r="D123" s="86"/>
      <c r="E123" s="86"/>
      <c r="F123" s="86"/>
      <c r="G123" s="86"/>
      <c r="H123" s="86"/>
      <c r="I123" s="86"/>
      <c r="J123" s="86"/>
      <c r="K123" s="86"/>
      <c r="L123" s="86"/>
      <c r="W123" s="89"/>
      <c r="X123" s="89"/>
      <c r="Y123" s="89"/>
      <c r="Z123" s="89"/>
      <c r="AA123" s="89"/>
      <c r="AB123" s="320"/>
      <c r="AC123" s="321"/>
      <c r="AD123" s="89"/>
      <c r="AE123" s="89"/>
      <c r="AF123" s="89"/>
      <c r="AG123" s="89"/>
      <c r="AH123" s="86"/>
      <c r="AI123" s="86"/>
      <c r="AJ123" s="86"/>
      <c r="AK123" s="86"/>
      <c r="AL123" s="86"/>
      <c r="AM123" s="86"/>
      <c r="AN123" s="86"/>
      <c r="AO123" s="86"/>
    </row>
    <row r="124" spans="1:41" s="319" customFormat="1" x14ac:dyDescent="0.2">
      <c r="A124" s="86"/>
      <c r="B124" s="86"/>
      <c r="C124" s="86"/>
      <c r="D124" s="86"/>
      <c r="E124" s="86"/>
      <c r="F124" s="86"/>
      <c r="G124" s="86"/>
      <c r="H124" s="86"/>
      <c r="I124" s="86"/>
      <c r="J124" s="86"/>
      <c r="K124" s="86"/>
      <c r="L124" s="86"/>
      <c r="W124" s="89"/>
      <c r="X124" s="89"/>
      <c r="Y124" s="89"/>
      <c r="Z124" s="89"/>
      <c r="AA124" s="89"/>
      <c r="AB124" s="320"/>
      <c r="AC124" s="321"/>
      <c r="AD124" s="89"/>
      <c r="AE124" s="89"/>
      <c r="AF124" s="89"/>
      <c r="AG124" s="89"/>
      <c r="AH124" s="86"/>
      <c r="AI124" s="86"/>
      <c r="AJ124" s="86"/>
      <c r="AK124" s="86"/>
      <c r="AL124" s="86"/>
      <c r="AM124" s="86"/>
      <c r="AN124" s="86"/>
      <c r="AO124" s="86"/>
    </row>
    <row r="125" spans="1:41" s="319" customFormat="1" x14ac:dyDescent="0.2">
      <c r="A125" s="86"/>
      <c r="B125" s="86"/>
      <c r="C125" s="86"/>
      <c r="D125" s="86"/>
      <c r="E125" s="86"/>
      <c r="F125" s="86"/>
      <c r="G125" s="86"/>
      <c r="H125" s="86"/>
      <c r="I125" s="86"/>
      <c r="J125" s="86"/>
      <c r="K125" s="86"/>
      <c r="L125" s="86"/>
      <c r="W125" s="89"/>
      <c r="X125" s="89"/>
      <c r="Y125" s="89"/>
      <c r="Z125" s="89"/>
      <c r="AA125" s="89"/>
      <c r="AB125" s="320"/>
      <c r="AC125" s="321"/>
      <c r="AD125" s="89"/>
      <c r="AE125" s="89"/>
      <c r="AF125" s="89"/>
      <c r="AG125" s="89"/>
      <c r="AH125" s="86"/>
      <c r="AI125" s="86"/>
      <c r="AJ125" s="86"/>
      <c r="AK125" s="86"/>
      <c r="AL125" s="86"/>
      <c r="AM125" s="86"/>
      <c r="AN125" s="86"/>
      <c r="AO125" s="86"/>
    </row>
    <row r="126" spans="1:41" s="319" customFormat="1" x14ac:dyDescent="0.2">
      <c r="A126" s="86"/>
      <c r="B126" s="86"/>
      <c r="C126" s="86"/>
      <c r="D126" s="86"/>
      <c r="E126" s="86"/>
      <c r="F126" s="86"/>
      <c r="G126" s="86"/>
      <c r="H126" s="86"/>
      <c r="I126" s="86"/>
      <c r="J126" s="86"/>
      <c r="K126" s="86"/>
      <c r="L126" s="86"/>
      <c r="W126" s="89"/>
      <c r="X126" s="89"/>
      <c r="Y126" s="89"/>
      <c r="Z126" s="89"/>
      <c r="AA126" s="89"/>
      <c r="AB126" s="320"/>
      <c r="AC126" s="321"/>
      <c r="AD126" s="89"/>
      <c r="AE126" s="89"/>
      <c r="AF126" s="89"/>
      <c r="AG126" s="89"/>
      <c r="AH126" s="86"/>
      <c r="AI126" s="86"/>
      <c r="AJ126" s="86"/>
      <c r="AK126" s="86"/>
      <c r="AL126" s="86"/>
      <c r="AM126" s="86"/>
      <c r="AN126" s="86"/>
      <c r="AO126" s="86"/>
    </row>
    <row r="127" spans="1:41" s="319" customFormat="1" x14ac:dyDescent="0.2">
      <c r="A127" s="86"/>
      <c r="B127" s="86"/>
      <c r="C127" s="86"/>
      <c r="D127" s="86"/>
      <c r="E127" s="86"/>
      <c r="F127" s="86"/>
      <c r="G127" s="86"/>
      <c r="H127" s="86"/>
      <c r="I127" s="86"/>
      <c r="J127" s="86"/>
      <c r="K127" s="86"/>
      <c r="L127" s="86"/>
      <c r="W127" s="89"/>
      <c r="X127" s="89"/>
      <c r="Y127" s="89"/>
      <c r="Z127" s="89"/>
      <c r="AA127" s="89"/>
      <c r="AB127" s="320"/>
      <c r="AC127" s="321"/>
      <c r="AD127" s="89"/>
      <c r="AE127" s="89"/>
      <c r="AF127" s="89"/>
      <c r="AG127" s="89"/>
      <c r="AH127" s="86"/>
      <c r="AI127" s="86"/>
      <c r="AJ127" s="86"/>
      <c r="AK127" s="86"/>
      <c r="AL127" s="86"/>
      <c r="AM127" s="86"/>
      <c r="AN127" s="86"/>
      <c r="AO127" s="86"/>
    </row>
    <row r="128" spans="1:41" s="319" customFormat="1" x14ac:dyDescent="0.2">
      <c r="A128" s="86"/>
      <c r="B128" s="86"/>
      <c r="C128" s="86"/>
      <c r="D128" s="86"/>
      <c r="E128" s="86"/>
      <c r="F128" s="86"/>
      <c r="G128" s="86"/>
      <c r="H128" s="86"/>
      <c r="I128" s="86"/>
      <c r="J128" s="86"/>
      <c r="K128" s="86"/>
      <c r="L128" s="86"/>
      <c r="W128" s="89"/>
      <c r="X128" s="89"/>
      <c r="Y128" s="89"/>
      <c r="Z128" s="89"/>
      <c r="AA128" s="89"/>
      <c r="AB128" s="320"/>
      <c r="AC128" s="321"/>
      <c r="AD128" s="89"/>
      <c r="AE128" s="89"/>
      <c r="AF128" s="89"/>
      <c r="AG128" s="89"/>
      <c r="AH128" s="86"/>
      <c r="AI128" s="86"/>
      <c r="AJ128" s="86"/>
      <c r="AK128" s="86"/>
      <c r="AL128" s="86"/>
      <c r="AM128" s="86"/>
      <c r="AN128" s="86"/>
      <c r="AO128" s="86"/>
    </row>
    <row r="129" spans="1:41" s="319" customFormat="1" x14ac:dyDescent="0.2">
      <c r="A129" s="86"/>
      <c r="B129" s="86"/>
      <c r="C129" s="86"/>
      <c r="D129" s="86"/>
      <c r="E129" s="86"/>
      <c r="F129" s="86"/>
      <c r="G129" s="86"/>
      <c r="H129" s="86"/>
      <c r="I129" s="86"/>
      <c r="J129" s="86"/>
      <c r="K129" s="86"/>
      <c r="L129" s="86"/>
      <c r="W129" s="89"/>
      <c r="X129" s="89"/>
      <c r="Y129" s="89"/>
      <c r="Z129" s="89"/>
      <c r="AA129" s="89"/>
      <c r="AB129" s="320"/>
      <c r="AC129" s="321"/>
      <c r="AD129" s="89"/>
      <c r="AE129" s="89"/>
      <c r="AF129" s="89"/>
      <c r="AG129" s="89"/>
      <c r="AH129" s="86"/>
      <c r="AI129" s="86"/>
      <c r="AJ129" s="86"/>
      <c r="AK129" s="86"/>
      <c r="AL129" s="86"/>
      <c r="AM129" s="86"/>
      <c r="AN129" s="86"/>
      <c r="AO129" s="86"/>
    </row>
    <row r="130" spans="1:41" s="319" customFormat="1" x14ac:dyDescent="0.2">
      <c r="A130" s="86"/>
      <c r="B130" s="86"/>
      <c r="C130" s="86"/>
      <c r="D130" s="86"/>
      <c r="E130" s="86"/>
      <c r="F130" s="86"/>
      <c r="G130" s="86"/>
      <c r="H130" s="86"/>
      <c r="I130" s="86"/>
      <c r="J130" s="86"/>
      <c r="K130" s="86"/>
      <c r="L130" s="86"/>
      <c r="W130" s="89"/>
      <c r="X130" s="89"/>
      <c r="Y130" s="89"/>
      <c r="Z130" s="89"/>
      <c r="AA130" s="89"/>
      <c r="AB130" s="320"/>
      <c r="AC130" s="321"/>
      <c r="AD130" s="89"/>
      <c r="AE130" s="89"/>
      <c r="AF130" s="89"/>
      <c r="AG130" s="89"/>
      <c r="AH130" s="86"/>
      <c r="AI130" s="86"/>
      <c r="AJ130" s="86"/>
      <c r="AK130" s="86"/>
      <c r="AL130" s="86"/>
      <c r="AM130" s="86"/>
      <c r="AN130" s="86"/>
      <c r="AO130" s="86"/>
    </row>
    <row r="131" spans="1:41" s="319" customFormat="1" x14ac:dyDescent="0.2">
      <c r="A131" s="86"/>
      <c r="B131" s="86"/>
      <c r="C131" s="86"/>
      <c r="D131" s="86"/>
      <c r="E131" s="86"/>
      <c r="F131" s="86"/>
      <c r="G131" s="86"/>
      <c r="H131" s="86"/>
      <c r="I131" s="86"/>
      <c r="J131" s="86"/>
      <c r="K131" s="86"/>
      <c r="L131" s="86"/>
      <c r="W131" s="89"/>
      <c r="X131" s="89"/>
      <c r="Y131" s="89"/>
      <c r="Z131" s="89"/>
      <c r="AA131" s="89"/>
      <c r="AB131" s="320"/>
      <c r="AC131" s="321"/>
      <c r="AD131" s="89"/>
      <c r="AE131" s="89"/>
      <c r="AF131" s="89"/>
      <c r="AG131" s="89"/>
      <c r="AH131" s="86"/>
      <c r="AI131" s="86"/>
      <c r="AJ131" s="86"/>
      <c r="AK131" s="86"/>
      <c r="AL131" s="86"/>
      <c r="AM131" s="86"/>
      <c r="AN131" s="86"/>
      <c r="AO131" s="86"/>
    </row>
    <row r="132" spans="1:41" s="319" customFormat="1" x14ac:dyDescent="0.2">
      <c r="A132" s="86"/>
      <c r="B132" s="86"/>
      <c r="C132" s="86"/>
      <c r="D132" s="86"/>
      <c r="E132" s="86"/>
      <c r="F132" s="86"/>
      <c r="G132" s="86"/>
      <c r="H132" s="86"/>
      <c r="I132" s="86"/>
      <c r="J132" s="86"/>
      <c r="K132" s="86"/>
      <c r="L132" s="86"/>
      <c r="W132" s="89"/>
      <c r="X132" s="89"/>
      <c r="Y132" s="89"/>
      <c r="Z132" s="89"/>
      <c r="AA132" s="89"/>
      <c r="AB132" s="320"/>
      <c r="AC132" s="321"/>
      <c r="AD132" s="89"/>
      <c r="AE132" s="89"/>
      <c r="AF132" s="89"/>
      <c r="AG132" s="89"/>
      <c r="AH132" s="86"/>
      <c r="AI132" s="86"/>
      <c r="AJ132" s="86"/>
      <c r="AK132" s="86"/>
      <c r="AL132" s="86"/>
      <c r="AM132" s="86"/>
      <c r="AN132" s="86"/>
      <c r="AO132" s="86"/>
    </row>
    <row r="133" spans="1:41" s="319" customFormat="1" x14ac:dyDescent="0.2">
      <c r="A133" s="86"/>
      <c r="B133" s="86"/>
      <c r="C133" s="86"/>
      <c r="D133" s="86"/>
      <c r="E133" s="86"/>
      <c r="F133" s="86"/>
      <c r="G133" s="86"/>
      <c r="H133" s="86"/>
      <c r="I133" s="86"/>
      <c r="J133" s="86"/>
      <c r="K133" s="86"/>
      <c r="L133" s="86"/>
      <c r="W133" s="89"/>
      <c r="X133" s="89"/>
      <c r="Y133" s="89"/>
      <c r="Z133" s="89"/>
      <c r="AA133" s="89"/>
      <c r="AB133" s="320"/>
      <c r="AC133" s="321"/>
      <c r="AD133" s="89"/>
      <c r="AE133" s="89"/>
      <c r="AF133" s="89"/>
      <c r="AG133" s="89"/>
      <c r="AH133" s="86"/>
      <c r="AI133" s="86"/>
      <c r="AJ133" s="86"/>
      <c r="AK133" s="86"/>
      <c r="AL133" s="86"/>
      <c r="AM133" s="86"/>
      <c r="AN133" s="86"/>
      <c r="AO133" s="86"/>
    </row>
    <row r="134" spans="1:41" s="319" customFormat="1" x14ac:dyDescent="0.2">
      <c r="A134" s="86"/>
      <c r="B134" s="86"/>
      <c r="C134" s="86"/>
      <c r="D134" s="86"/>
      <c r="E134" s="86"/>
      <c r="F134" s="86"/>
      <c r="G134" s="86"/>
      <c r="H134" s="86"/>
      <c r="I134" s="86"/>
      <c r="J134" s="86"/>
      <c r="K134" s="86"/>
      <c r="L134" s="86"/>
      <c r="W134" s="89"/>
      <c r="X134" s="89"/>
      <c r="Y134" s="89"/>
      <c r="Z134" s="89"/>
      <c r="AA134" s="89"/>
      <c r="AB134" s="320"/>
      <c r="AC134" s="321"/>
      <c r="AD134" s="89"/>
      <c r="AE134" s="89"/>
      <c r="AF134" s="89"/>
      <c r="AG134" s="89"/>
      <c r="AH134" s="86"/>
      <c r="AI134" s="86"/>
      <c r="AJ134" s="86"/>
      <c r="AK134" s="86"/>
      <c r="AL134" s="86"/>
      <c r="AM134" s="86"/>
      <c r="AN134" s="86"/>
      <c r="AO134" s="86"/>
    </row>
    <row r="135" spans="1:41" s="319" customFormat="1" x14ac:dyDescent="0.2">
      <c r="A135" s="86"/>
      <c r="B135" s="86"/>
      <c r="C135" s="86"/>
      <c r="D135" s="86"/>
      <c r="E135" s="86"/>
      <c r="F135" s="86"/>
      <c r="G135" s="86"/>
      <c r="H135" s="86"/>
      <c r="I135" s="86"/>
      <c r="J135" s="86"/>
      <c r="K135" s="86"/>
      <c r="L135" s="86"/>
      <c r="W135" s="89"/>
      <c r="X135" s="89"/>
      <c r="Y135" s="89"/>
      <c r="Z135" s="89"/>
      <c r="AA135" s="89"/>
      <c r="AB135" s="320"/>
      <c r="AC135" s="321"/>
      <c r="AD135" s="89"/>
      <c r="AE135" s="89"/>
      <c r="AF135" s="89"/>
      <c r="AG135" s="89"/>
      <c r="AH135" s="86"/>
      <c r="AI135" s="86"/>
      <c r="AJ135" s="86"/>
      <c r="AK135" s="86"/>
      <c r="AL135" s="86"/>
      <c r="AM135" s="86"/>
      <c r="AN135" s="86"/>
      <c r="AO135" s="86"/>
    </row>
    <row r="136" spans="1:41" s="319" customFormat="1" x14ac:dyDescent="0.2">
      <c r="A136" s="86"/>
      <c r="B136" s="86"/>
      <c r="C136" s="86"/>
      <c r="D136" s="86"/>
      <c r="E136" s="86"/>
      <c r="F136" s="86"/>
      <c r="G136" s="86"/>
      <c r="H136" s="86"/>
      <c r="I136" s="86"/>
      <c r="J136" s="86"/>
      <c r="K136" s="86"/>
      <c r="L136" s="86"/>
      <c r="W136" s="89"/>
      <c r="X136" s="89"/>
      <c r="Y136" s="89"/>
      <c r="Z136" s="89"/>
      <c r="AA136" s="89"/>
      <c r="AB136" s="320"/>
      <c r="AC136" s="321"/>
      <c r="AD136" s="89"/>
      <c r="AE136" s="89"/>
      <c r="AF136" s="89"/>
      <c r="AG136" s="89"/>
      <c r="AH136" s="86"/>
      <c r="AI136" s="86"/>
      <c r="AJ136" s="86"/>
      <c r="AK136" s="86"/>
      <c r="AL136" s="86"/>
      <c r="AM136" s="86"/>
      <c r="AN136" s="86"/>
      <c r="AO136" s="86"/>
    </row>
    <row r="137" spans="1:41" s="319" customFormat="1" x14ac:dyDescent="0.2">
      <c r="A137" s="86"/>
      <c r="B137" s="86"/>
      <c r="C137" s="86"/>
      <c r="D137" s="86"/>
      <c r="E137" s="86"/>
      <c r="F137" s="86"/>
      <c r="G137" s="86"/>
      <c r="H137" s="86"/>
      <c r="I137" s="86"/>
      <c r="J137" s="86"/>
      <c r="K137" s="86"/>
      <c r="L137" s="86"/>
      <c r="W137" s="89"/>
      <c r="X137" s="89"/>
      <c r="Y137" s="89"/>
      <c r="Z137" s="89"/>
      <c r="AA137" s="89"/>
      <c r="AB137" s="320"/>
      <c r="AC137" s="321"/>
      <c r="AD137" s="89"/>
      <c r="AE137" s="89"/>
      <c r="AF137" s="89"/>
      <c r="AG137" s="89"/>
      <c r="AH137" s="86"/>
      <c r="AI137" s="86"/>
      <c r="AJ137" s="86"/>
      <c r="AK137" s="86"/>
      <c r="AL137" s="86"/>
      <c r="AM137" s="86"/>
      <c r="AN137" s="86"/>
      <c r="AO137" s="86"/>
    </row>
    <row r="138" spans="1:41" s="319" customFormat="1" x14ac:dyDescent="0.2">
      <c r="A138" s="86"/>
      <c r="B138" s="86"/>
      <c r="C138" s="86"/>
      <c r="D138" s="86"/>
      <c r="E138" s="86"/>
      <c r="F138" s="86"/>
      <c r="G138" s="86"/>
      <c r="H138" s="86"/>
      <c r="I138" s="86"/>
      <c r="J138" s="86"/>
      <c r="K138" s="86"/>
      <c r="L138" s="86"/>
      <c r="W138" s="89"/>
      <c r="X138" s="89"/>
      <c r="Y138" s="89"/>
      <c r="Z138" s="89"/>
      <c r="AA138" s="89"/>
      <c r="AB138" s="320"/>
      <c r="AC138" s="321"/>
      <c r="AD138" s="89"/>
      <c r="AE138" s="89"/>
      <c r="AF138" s="89"/>
      <c r="AG138" s="89"/>
      <c r="AH138" s="86"/>
      <c r="AI138" s="86"/>
      <c r="AJ138" s="86"/>
      <c r="AK138" s="86"/>
      <c r="AL138" s="86"/>
      <c r="AM138" s="86"/>
      <c r="AN138" s="86"/>
      <c r="AO138" s="86"/>
    </row>
    <row r="139" spans="1:41" s="319" customFormat="1" x14ac:dyDescent="0.2">
      <c r="A139" s="86"/>
      <c r="B139" s="86"/>
      <c r="C139" s="86"/>
      <c r="D139" s="86"/>
      <c r="E139" s="86"/>
      <c r="F139" s="86"/>
      <c r="G139" s="86"/>
      <c r="H139" s="86"/>
      <c r="I139" s="86"/>
      <c r="J139" s="86"/>
      <c r="K139" s="86"/>
      <c r="L139" s="86"/>
      <c r="W139" s="89"/>
      <c r="X139" s="89"/>
      <c r="Y139" s="89"/>
      <c r="Z139" s="89"/>
      <c r="AA139" s="89"/>
      <c r="AB139" s="320"/>
      <c r="AC139" s="321"/>
      <c r="AD139" s="89"/>
      <c r="AE139" s="89"/>
      <c r="AF139" s="89"/>
      <c r="AG139" s="89"/>
      <c r="AH139" s="86"/>
      <c r="AI139" s="86"/>
      <c r="AJ139" s="86"/>
      <c r="AK139" s="86"/>
      <c r="AL139" s="86"/>
      <c r="AM139" s="86"/>
      <c r="AN139" s="86"/>
      <c r="AO139" s="86"/>
    </row>
    <row r="140" spans="1:41" s="319" customFormat="1" x14ac:dyDescent="0.2">
      <c r="A140" s="86"/>
      <c r="B140" s="86"/>
      <c r="C140" s="86"/>
      <c r="D140" s="86"/>
      <c r="E140" s="86"/>
      <c r="F140" s="86"/>
      <c r="G140" s="86"/>
      <c r="H140" s="86"/>
      <c r="I140" s="86"/>
      <c r="J140" s="86"/>
      <c r="K140" s="86"/>
      <c r="L140" s="86"/>
      <c r="W140" s="89"/>
      <c r="X140" s="89"/>
      <c r="Y140" s="89"/>
      <c r="Z140" s="89"/>
      <c r="AA140" s="89"/>
      <c r="AB140" s="320"/>
      <c r="AC140" s="321"/>
      <c r="AD140" s="89"/>
      <c r="AE140" s="89"/>
      <c r="AF140" s="89"/>
      <c r="AG140" s="89"/>
      <c r="AH140" s="86"/>
      <c r="AI140" s="86"/>
      <c r="AJ140" s="86"/>
      <c r="AK140" s="86"/>
      <c r="AL140" s="86"/>
      <c r="AM140" s="86"/>
      <c r="AN140" s="86"/>
      <c r="AO140" s="86"/>
    </row>
    <row r="141" spans="1:41" s="319" customFormat="1" x14ac:dyDescent="0.2">
      <c r="A141" s="86"/>
      <c r="B141" s="86"/>
      <c r="C141" s="86"/>
      <c r="D141" s="86"/>
      <c r="E141" s="86"/>
      <c r="F141" s="86"/>
      <c r="G141" s="86"/>
      <c r="H141" s="86"/>
      <c r="I141" s="86"/>
      <c r="J141" s="86"/>
      <c r="K141" s="86"/>
      <c r="L141" s="86"/>
      <c r="W141" s="89"/>
      <c r="X141" s="89"/>
      <c r="Y141" s="89"/>
      <c r="Z141" s="89"/>
      <c r="AA141" s="89"/>
      <c r="AB141" s="320"/>
      <c r="AC141" s="321"/>
      <c r="AD141" s="89"/>
      <c r="AE141" s="89"/>
      <c r="AF141" s="89"/>
      <c r="AG141" s="89"/>
      <c r="AH141" s="86"/>
      <c r="AI141" s="86"/>
      <c r="AJ141" s="86"/>
      <c r="AK141" s="86"/>
      <c r="AL141" s="86"/>
      <c r="AM141" s="86"/>
      <c r="AN141" s="86"/>
      <c r="AO141" s="86"/>
    </row>
    <row r="142" spans="1:41" s="319" customFormat="1" x14ac:dyDescent="0.2">
      <c r="A142" s="86"/>
      <c r="B142" s="86"/>
      <c r="C142" s="86"/>
      <c r="D142" s="86"/>
      <c r="E142" s="86"/>
      <c r="F142" s="86"/>
      <c r="G142" s="86"/>
      <c r="H142" s="86"/>
      <c r="I142" s="86"/>
      <c r="J142" s="86"/>
      <c r="K142" s="86"/>
      <c r="L142" s="86"/>
      <c r="W142" s="89"/>
      <c r="X142" s="89"/>
      <c r="Y142" s="89"/>
      <c r="Z142" s="89"/>
      <c r="AA142" s="89"/>
      <c r="AB142" s="320"/>
      <c r="AC142" s="321"/>
      <c r="AD142" s="89"/>
      <c r="AE142" s="89"/>
      <c r="AF142" s="89"/>
      <c r="AG142" s="89"/>
      <c r="AH142" s="86"/>
      <c r="AI142" s="86"/>
      <c r="AJ142" s="86"/>
      <c r="AK142" s="86"/>
      <c r="AL142" s="86"/>
      <c r="AM142" s="86"/>
      <c r="AN142" s="86"/>
      <c r="AO142" s="86"/>
    </row>
    <row r="143" spans="1:41" s="319" customFormat="1" x14ac:dyDescent="0.2">
      <c r="A143" s="86"/>
      <c r="B143" s="86"/>
      <c r="C143" s="86"/>
      <c r="D143" s="86"/>
      <c r="E143" s="86"/>
      <c r="F143" s="86"/>
      <c r="G143" s="86"/>
      <c r="H143" s="86"/>
      <c r="I143" s="86"/>
      <c r="J143" s="86"/>
      <c r="K143" s="86"/>
      <c r="L143" s="86"/>
      <c r="W143" s="89"/>
      <c r="X143" s="89"/>
      <c r="Y143" s="89"/>
      <c r="Z143" s="89"/>
      <c r="AA143" s="89"/>
      <c r="AB143" s="320"/>
      <c r="AC143" s="321"/>
      <c r="AD143" s="89"/>
      <c r="AE143" s="89"/>
      <c r="AF143" s="89"/>
      <c r="AG143" s="89"/>
      <c r="AH143" s="86"/>
      <c r="AI143" s="86"/>
      <c r="AJ143" s="86"/>
      <c r="AK143" s="86"/>
      <c r="AL143" s="86"/>
      <c r="AM143" s="86"/>
      <c r="AN143" s="86"/>
      <c r="AO143" s="86"/>
    </row>
    <row r="144" spans="1:41" s="319" customFormat="1" x14ac:dyDescent="0.2">
      <c r="A144" s="86"/>
      <c r="B144" s="86"/>
      <c r="C144" s="86"/>
      <c r="D144" s="86"/>
      <c r="E144" s="86"/>
      <c r="F144" s="86"/>
      <c r="G144" s="86"/>
      <c r="H144" s="86"/>
      <c r="I144" s="86"/>
      <c r="J144" s="86"/>
      <c r="K144" s="86"/>
      <c r="L144" s="86"/>
      <c r="W144" s="89"/>
      <c r="X144" s="89"/>
      <c r="Y144" s="89"/>
      <c r="Z144" s="89"/>
      <c r="AA144" s="89"/>
      <c r="AB144" s="320"/>
      <c r="AC144" s="321"/>
      <c r="AD144" s="89"/>
      <c r="AE144" s="89"/>
      <c r="AF144" s="89"/>
      <c r="AG144" s="89"/>
      <c r="AH144" s="86"/>
      <c r="AI144" s="86"/>
      <c r="AJ144" s="86"/>
      <c r="AK144" s="86"/>
      <c r="AL144" s="86"/>
      <c r="AM144" s="86"/>
      <c r="AN144" s="86"/>
      <c r="AO144" s="86"/>
    </row>
    <row r="145" spans="1:41" s="319" customFormat="1" x14ac:dyDescent="0.2">
      <c r="A145" s="86"/>
      <c r="B145" s="86"/>
      <c r="C145" s="86"/>
      <c r="D145" s="86"/>
      <c r="E145" s="86"/>
      <c r="F145" s="86"/>
      <c r="G145" s="86"/>
      <c r="H145" s="86"/>
      <c r="I145" s="86"/>
      <c r="J145" s="86"/>
      <c r="K145" s="86"/>
      <c r="L145" s="86"/>
      <c r="W145" s="89"/>
      <c r="X145" s="89"/>
      <c r="Y145" s="89"/>
      <c r="Z145" s="89"/>
      <c r="AA145" s="89"/>
      <c r="AB145" s="320"/>
      <c r="AC145" s="321"/>
      <c r="AD145" s="89"/>
      <c r="AE145" s="89"/>
      <c r="AF145" s="89"/>
      <c r="AG145" s="89"/>
      <c r="AH145" s="86"/>
      <c r="AI145" s="86"/>
      <c r="AJ145" s="86"/>
      <c r="AK145" s="86"/>
      <c r="AL145" s="86"/>
      <c r="AM145" s="86"/>
      <c r="AN145" s="86"/>
      <c r="AO145" s="86"/>
    </row>
    <row r="146" spans="1:41" s="319" customFormat="1" x14ac:dyDescent="0.2">
      <c r="A146" s="86"/>
      <c r="B146" s="86"/>
      <c r="C146" s="86"/>
      <c r="D146" s="86"/>
      <c r="E146" s="86"/>
      <c r="F146" s="86"/>
      <c r="G146" s="86"/>
      <c r="H146" s="86"/>
      <c r="I146" s="86"/>
      <c r="J146" s="86"/>
      <c r="K146" s="86"/>
      <c r="L146" s="86"/>
      <c r="W146" s="89"/>
      <c r="X146" s="89"/>
      <c r="Y146" s="89"/>
      <c r="Z146" s="89"/>
      <c r="AA146" s="89"/>
      <c r="AB146" s="320"/>
      <c r="AC146" s="321"/>
      <c r="AD146" s="89"/>
      <c r="AE146" s="89"/>
      <c r="AF146" s="89"/>
      <c r="AG146" s="89"/>
      <c r="AH146" s="86"/>
      <c r="AI146" s="86"/>
      <c r="AJ146" s="86"/>
      <c r="AK146" s="86"/>
      <c r="AL146" s="86"/>
      <c r="AM146" s="86"/>
      <c r="AN146" s="86"/>
      <c r="AO146" s="86"/>
    </row>
    <row r="147" spans="1:41" s="319" customFormat="1" x14ac:dyDescent="0.2">
      <c r="A147" s="86"/>
      <c r="B147" s="86"/>
      <c r="C147" s="86"/>
      <c r="D147" s="86"/>
      <c r="E147" s="86"/>
      <c r="F147" s="86"/>
      <c r="G147" s="86"/>
      <c r="H147" s="86"/>
      <c r="I147" s="86"/>
      <c r="J147" s="86"/>
      <c r="K147" s="86"/>
      <c r="L147" s="86"/>
      <c r="W147" s="89"/>
      <c r="X147" s="89"/>
      <c r="Y147" s="89"/>
      <c r="Z147" s="89"/>
      <c r="AA147" s="89"/>
      <c r="AB147" s="320"/>
      <c r="AC147" s="321"/>
      <c r="AD147" s="89"/>
      <c r="AE147" s="89"/>
      <c r="AF147" s="89"/>
      <c r="AG147" s="89"/>
      <c r="AH147" s="86"/>
      <c r="AI147" s="86"/>
      <c r="AJ147" s="86"/>
      <c r="AK147" s="86"/>
      <c r="AL147" s="86"/>
      <c r="AM147" s="86"/>
      <c r="AN147" s="86"/>
      <c r="AO147" s="86"/>
    </row>
    <row r="148" spans="1:41" s="319" customFormat="1" x14ac:dyDescent="0.2">
      <c r="A148" s="86"/>
      <c r="B148" s="86"/>
      <c r="C148" s="86"/>
      <c r="D148" s="86"/>
      <c r="E148" s="86"/>
      <c r="F148" s="86"/>
      <c r="G148" s="86"/>
      <c r="H148" s="86"/>
      <c r="I148" s="86"/>
      <c r="J148" s="86"/>
      <c r="K148" s="86"/>
      <c r="L148" s="86"/>
      <c r="W148" s="89"/>
      <c r="X148" s="89"/>
      <c r="Y148" s="89"/>
      <c r="Z148" s="89"/>
      <c r="AA148" s="89"/>
      <c r="AB148" s="320"/>
      <c r="AC148" s="321"/>
      <c r="AD148" s="89"/>
      <c r="AE148" s="89"/>
      <c r="AF148" s="89"/>
      <c r="AG148" s="89"/>
      <c r="AH148" s="86"/>
      <c r="AI148" s="86"/>
      <c r="AJ148" s="86"/>
      <c r="AK148" s="86"/>
      <c r="AL148" s="86"/>
      <c r="AM148" s="86"/>
      <c r="AN148" s="86"/>
      <c r="AO148" s="86"/>
    </row>
    <row r="149" spans="1:41" s="319" customFormat="1" x14ac:dyDescent="0.2">
      <c r="A149" s="86"/>
      <c r="B149" s="86"/>
      <c r="C149" s="86"/>
      <c r="D149" s="86"/>
      <c r="E149" s="86"/>
      <c r="F149" s="86"/>
      <c r="G149" s="86"/>
      <c r="H149" s="86"/>
      <c r="I149" s="86"/>
      <c r="J149" s="86"/>
      <c r="K149" s="86"/>
      <c r="L149" s="86"/>
      <c r="W149" s="89"/>
      <c r="X149" s="89"/>
      <c r="Y149" s="89"/>
      <c r="Z149" s="89"/>
      <c r="AA149" s="89"/>
      <c r="AB149" s="320"/>
      <c r="AC149" s="321"/>
      <c r="AD149" s="89"/>
      <c r="AE149" s="89"/>
      <c r="AF149" s="89"/>
      <c r="AG149" s="89"/>
      <c r="AH149" s="86"/>
      <c r="AI149" s="86"/>
      <c r="AJ149" s="86"/>
      <c r="AK149" s="86"/>
      <c r="AL149" s="86"/>
      <c r="AM149" s="86"/>
      <c r="AN149" s="86"/>
      <c r="AO149" s="86"/>
    </row>
    <row r="150" spans="1:41" s="319" customFormat="1" x14ac:dyDescent="0.2">
      <c r="A150" s="86"/>
      <c r="B150" s="86"/>
      <c r="C150" s="86"/>
      <c r="D150" s="86"/>
      <c r="E150" s="86"/>
      <c r="F150" s="86"/>
      <c r="G150" s="86"/>
      <c r="H150" s="86"/>
      <c r="I150" s="86"/>
      <c r="J150" s="86"/>
      <c r="K150" s="86"/>
      <c r="L150" s="86"/>
      <c r="W150" s="89"/>
      <c r="X150" s="89"/>
      <c r="Y150" s="89"/>
      <c r="Z150" s="89"/>
      <c r="AA150" s="89"/>
      <c r="AB150" s="320"/>
      <c r="AC150" s="321"/>
      <c r="AD150" s="89"/>
      <c r="AE150" s="89"/>
      <c r="AF150" s="89"/>
      <c r="AG150" s="89"/>
      <c r="AH150" s="86"/>
      <c r="AI150" s="86"/>
      <c r="AJ150" s="86"/>
      <c r="AK150" s="86"/>
      <c r="AL150" s="86"/>
      <c r="AM150" s="86"/>
      <c r="AN150" s="86"/>
      <c r="AO150" s="86"/>
    </row>
    <row r="151" spans="1:41" s="319" customFormat="1" x14ac:dyDescent="0.2">
      <c r="A151" s="86"/>
      <c r="B151" s="86"/>
      <c r="C151" s="86"/>
      <c r="D151" s="86"/>
      <c r="E151" s="86"/>
      <c r="F151" s="86"/>
      <c r="G151" s="86"/>
      <c r="H151" s="86"/>
      <c r="I151" s="86"/>
      <c r="J151" s="86"/>
      <c r="K151" s="86"/>
      <c r="L151" s="86"/>
      <c r="W151" s="89"/>
      <c r="X151" s="89"/>
      <c r="Y151" s="89"/>
      <c r="Z151" s="89"/>
      <c r="AA151" s="89"/>
      <c r="AB151" s="320"/>
      <c r="AC151" s="321"/>
      <c r="AD151" s="89"/>
      <c r="AE151" s="89"/>
      <c r="AF151" s="89"/>
      <c r="AG151" s="89"/>
      <c r="AH151" s="86"/>
      <c r="AI151" s="86"/>
      <c r="AJ151" s="86"/>
      <c r="AK151" s="86"/>
      <c r="AL151" s="86"/>
      <c r="AM151" s="86"/>
      <c r="AN151" s="86"/>
      <c r="AO151" s="86"/>
    </row>
    <row r="152" spans="1:41" s="319" customFormat="1" x14ac:dyDescent="0.2">
      <c r="A152" s="86"/>
      <c r="B152" s="86"/>
      <c r="C152" s="86"/>
      <c r="D152" s="86"/>
      <c r="E152" s="86"/>
      <c r="F152" s="86"/>
      <c r="G152" s="86"/>
      <c r="H152" s="86"/>
      <c r="I152" s="86"/>
      <c r="J152" s="86"/>
      <c r="K152" s="86"/>
      <c r="L152" s="86"/>
      <c r="W152" s="89"/>
      <c r="X152" s="89"/>
      <c r="Y152" s="89"/>
      <c r="Z152" s="89"/>
      <c r="AA152" s="89"/>
      <c r="AB152" s="320"/>
      <c r="AC152" s="321"/>
      <c r="AD152" s="89"/>
      <c r="AE152" s="89"/>
      <c r="AF152" s="89"/>
      <c r="AG152" s="89"/>
      <c r="AH152" s="86"/>
      <c r="AI152" s="86"/>
      <c r="AJ152" s="86"/>
      <c r="AK152" s="86"/>
      <c r="AL152" s="86"/>
      <c r="AM152" s="86"/>
      <c r="AN152" s="86"/>
      <c r="AO152" s="86"/>
    </row>
    <row r="153" spans="1:41" s="319" customFormat="1" x14ac:dyDescent="0.2">
      <c r="A153" s="86"/>
      <c r="B153" s="86"/>
      <c r="C153" s="86"/>
      <c r="D153" s="86"/>
      <c r="E153" s="86"/>
      <c r="F153" s="86"/>
      <c r="G153" s="86"/>
      <c r="H153" s="86"/>
      <c r="I153" s="86"/>
      <c r="J153" s="86"/>
      <c r="K153" s="86"/>
      <c r="L153" s="86"/>
      <c r="W153" s="89"/>
      <c r="X153" s="89"/>
      <c r="Y153" s="89"/>
      <c r="Z153" s="89"/>
      <c r="AA153" s="89"/>
      <c r="AB153" s="320"/>
      <c r="AC153" s="321"/>
      <c r="AD153" s="89"/>
      <c r="AE153" s="89"/>
      <c r="AF153" s="89"/>
      <c r="AG153" s="89"/>
      <c r="AH153" s="86"/>
      <c r="AI153" s="86"/>
      <c r="AJ153" s="86"/>
      <c r="AK153" s="86"/>
      <c r="AL153" s="86"/>
      <c r="AM153" s="86"/>
      <c r="AN153" s="86"/>
      <c r="AO153" s="86"/>
    </row>
    <row r="154" spans="1:41" s="319" customFormat="1" x14ac:dyDescent="0.2">
      <c r="A154" s="86"/>
      <c r="B154" s="86"/>
      <c r="C154" s="86"/>
      <c r="D154" s="86"/>
      <c r="E154" s="86"/>
      <c r="F154" s="86"/>
      <c r="G154" s="86"/>
      <c r="H154" s="86"/>
      <c r="I154" s="86"/>
      <c r="J154" s="86"/>
      <c r="K154" s="86"/>
      <c r="L154" s="86"/>
      <c r="W154" s="89"/>
      <c r="X154" s="89"/>
      <c r="Y154" s="89"/>
      <c r="Z154" s="89"/>
      <c r="AA154" s="89"/>
      <c r="AB154" s="320"/>
      <c r="AC154" s="321"/>
      <c r="AD154" s="89"/>
      <c r="AE154" s="89"/>
      <c r="AF154" s="89"/>
      <c r="AG154" s="89"/>
      <c r="AH154" s="86"/>
      <c r="AI154" s="86"/>
      <c r="AJ154" s="86"/>
      <c r="AK154" s="86"/>
      <c r="AL154" s="86"/>
      <c r="AM154" s="86"/>
      <c r="AN154" s="86"/>
      <c r="AO154" s="86"/>
    </row>
    <row r="155" spans="1:41" s="319" customFormat="1" x14ac:dyDescent="0.2">
      <c r="A155" s="86"/>
      <c r="B155" s="86"/>
      <c r="C155" s="86"/>
      <c r="D155" s="86"/>
      <c r="E155" s="86"/>
      <c r="F155" s="86"/>
      <c r="G155" s="86"/>
      <c r="H155" s="86"/>
      <c r="I155" s="86"/>
      <c r="J155" s="86"/>
      <c r="K155" s="86"/>
      <c r="L155" s="86"/>
      <c r="W155" s="89"/>
      <c r="X155" s="89"/>
      <c r="Y155" s="89"/>
      <c r="Z155" s="89"/>
      <c r="AA155" s="89"/>
      <c r="AB155" s="320"/>
      <c r="AC155" s="321"/>
      <c r="AD155" s="89"/>
      <c r="AE155" s="89"/>
      <c r="AF155" s="89"/>
      <c r="AG155" s="89"/>
      <c r="AH155" s="86"/>
      <c r="AI155" s="86"/>
      <c r="AJ155" s="86"/>
      <c r="AK155" s="86"/>
      <c r="AL155" s="86"/>
      <c r="AM155" s="86"/>
      <c r="AN155" s="86"/>
      <c r="AO155" s="86"/>
    </row>
    <row r="156" spans="1:41" s="319" customFormat="1" x14ac:dyDescent="0.2">
      <c r="A156" s="86"/>
      <c r="B156" s="86"/>
      <c r="C156" s="86"/>
      <c r="D156" s="86"/>
      <c r="E156" s="86"/>
      <c r="F156" s="86"/>
      <c r="G156" s="86"/>
      <c r="H156" s="86"/>
      <c r="I156" s="86"/>
      <c r="J156" s="86"/>
      <c r="K156" s="86"/>
      <c r="L156" s="86"/>
      <c r="W156" s="89"/>
      <c r="X156" s="89"/>
      <c r="Y156" s="89"/>
      <c r="Z156" s="89"/>
      <c r="AA156" s="89"/>
      <c r="AB156" s="320"/>
      <c r="AC156" s="321"/>
      <c r="AD156" s="89"/>
      <c r="AE156" s="89"/>
      <c r="AF156" s="89"/>
      <c r="AG156" s="89"/>
      <c r="AH156" s="86"/>
      <c r="AI156" s="86"/>
      <c r="AJ156" s="86"/>
      <c r="AK156" s="86"/>
      <c r="AL156" s="86"/>
      <c r="AM156" s="86"/>
      <c r="AN156" s="86"/>
      <c r="AO156" s="86"/>
    </row>
    <row r="157" spans="1:41" s="319" customFormat="1" x14ac:dyDescent="0.2">
      <c r="A157" s="86"/>
      <c r="B157" s="86"/>
      <c r="C157" s="86"/>
      <c r="D157" s="86"/>
      <c r="E157" s="86"/>
      <c r="F157" s="86"/>
      <c r="G157" s="86"/>
      <c r="H157" s="86"/>
      <c r="I157" s="86"/>
      <c r="J157" s="86"/>
      <c r="K157" s="86"/>
      <c r="L157" s="86"/>
      <c r="W157" s="89"/>
      <c r="X157" s="89"/>
      <c r="Y157" s="89"/>
      <c r="Z157" s="89"/>
      <c r="AA157" s="89"/>
      <c r="AB157" s="320"/>
      <c r="AC157" s="321"/>
      <c r="AD157" s="89"/>
      <c r="AE157" s="89"/>
      <c r="AF157" s="89"/>
      <c r="AG157" s="89"/>
      <c r="AH157" s="86"/>
      <c r="AI157" s="86"/>
      <c r="AJ157" s="86"/>
      <c r="AK157" s="86"/>
      <c r="AL157" s="86"/>
      <c r="AM157" s="86"/>
      <c r="AN157" s="86"/>
      <c r="AO157" s="86"/>
    </row>
    <row r="158" spans="1:41" s="319" customFormat="1" x14ac:dyDescent="0.2">
      <c r="A158" s="86"/>
      <c r="B158" s="86"/>
      <c r="C158" s="86"/>
      <c r="D158" s="86"/>
      <c r="E158" s="86"/>
      <c r="F158" s="86"/>
      <c r="G158" s="86"/>
      <c r="H158" s="86"/>
      <c r="I158" s="86"/>
      <c r="J158" s="86"/>
      <c r="K158" s="86"/>
      <c r="L158" s="86"/>
      <c r="W158" s="89"/>
      <c r="X158" s="89"/>
      <c r="Y158" s="89"/>
      <c r="Z158" s="89"/>
      <c r="AA158" s="89"/>
      <c r="AB158" s="320"/>
      <c r="AC158" s="321"/>
      <c r="AD158" s="89"/>
      <c r="AE158" s="89"/>
      <c r="AF158" s="89"/>
      <c r="AG158" s="89"/>
      <c r="AH158" s="86"/>
      <c r="AI158" s="86"/>
      <c r="AJ158" s="86"/>
      <c r="AK158" s="86"/>
      <c r="AL158" s="86"/>
      <c r="AM158" s="86"/>
      <c r="AN158" s="86"/>
      <c r="AO158" s="86"/>
    </row>
    <row r="159" spans="1:41" s="319" customFormat="1" x14ac:dyDescent="0.2">
      <c r="A159" s="86"/>
      <c r="B159" s="86"/>
      <c r="C159" s="86"/>
      <c r="D159" s="86"/>
      <c r="E159" s="86"/>
      <c r="F159" s="86"/>
      <c r="G159" s="86"/>
      <c r="H159" s="86"/>
      <c r="I159" s="86"/>
      <c r="J159" s="86"/>
      <c r="K159" s="86"/>
      <c r="L159" s="86"/>
      <c r="W159" s="89"/>
      <c r="X159" s="89"/>
      <c r="Y159" s="89"/>
      <c r="Z159" s="89"/>
      <c r="AA159" s="89"/>
      <c r="AB159" s="320"/>
      <c r="AC159" s="321"/>
      <c r="AD159" s="89"/>
      <c r="AE159" s="89"/>
      <c r="AF159" s="89"/>
      <c r="AG159" s="89"/>
      <c r="AH159" s="86"/>
      <c r="AI159" s="86"/>
      <c r="AJ159" s="86"/>
      <c r="AK159" s="86"/>
      <c r="AL159" s="86"/>
      <c r="AM159" s="86"/>
      <c r="AN159" s="86"/>
      <c r="AO159" s="86"/>
    </row>
    <row r="160" spans="1:41" s="319" customFormat="1" x14ac:dyDescent="0.2">
      <c r="A160" s="86"/>
      <c r="B160" s="86"/>
      <c r="C160" s="86"/>
      <c r="D160" s="86"/>
      <c r="E160" s="86"/>
      <c r="F160" s="86"/>
      <c r="G160" s="86"/>
      <c r="H160" s="86"/>
      <c r="I160" s="86"/>
      <c r="J160" s="86"/>
      <c r="K160" s="86"/>
      <c r="L160" s="86"/>
      <c r="W160" s="89"/>
      <c r="X160" s="89"/>
      <c r="Y160" s="89"/>
      <c r="Z160" s="89"/>
      <c r="AA160" s="89"/>
      <c r="AB160" s="320"/>
      <c r="AC160" s="321"/>
      <c r="AD160" s="89"/>
      <c r="AE160" s="89"/>
      <c r="AF160" s="89"/>
      <c r="AG160" s="89"/>
      <c r="AH160" s="86"/>
      <c r="AI160" s="86"/>
      <c r="AJ160" s="86"/>
      <c r="AK160" s="86"/>
      <c r="AL160" s="86"/>
      <c r="AM160" s="86"/>
      <c r="AN160" s="86"/>
      <c r="AO160" s="86"/>
    </row>
    <row r="161" spans="1:41" s="319" customFormat="1" x14ac:dyDescent="0.2">
      <c r="A161" s="86"/>
      <c r="B161" s="86"/>
      <c r="C161" s="86"/>
      <c r="D161" s="86"/>
      <c r="E161" s="86"/>
      <c r="F161" s="86"/>
      <c r="G161" s="86"/>
      <c r="H161" s="86"/>
      <c r="I161" s="86"/>
      <c r="J161" s="86"/>
      <c r="K161" s="86"/>
      <c r="L161" s="86"/>
      <c r="W161" s="89"/>
      <c r="X161" s="89"/>
      <c r="Y161" s="89"/>
      <c r="Z161" s="89"/>
      <c r="AA161" s="89"/>
      <c r="AB161" s="320"/>
      <c r="AC161" s="321"/>
      <c r="AD161" s="89"/>
      <c r="AE161" s="89"/>
      <c r="AF161" s="89"/>
      <c r="AG161" s="89"/>
      <c r="AH161" s="86"/>
      <c r="AI161" s="86"/>
      <c r="AJ161" s="86"/>
      <c r="AK161" s="86"/>
      <c r="AL161" s="86"/>
      <c r="AM161" s="86"/>
      <c r="AN161" s="86"/>
      <c r="AO161" s="86"/>
    </row>
    <row r="162" spans="1:41" s="319" customFormat="1" x14ac:dyDescent="0.2">
      <c r="A162" s="86"/>
      <c r="B162" s="86"/>
      <c r="C162" s="86"/>
      <c r="D162" s="86"/>
      <c r="E162" s="86"/>
      <c r="F162" s="86"/>
      <c r="G162" s="86"/>
      <c r="H162" s="86"/>
      <c r="I162" s="86"/>
      <c r="J162" s="86"/>
      <c r="K162" s="86"/>
      <c r="L162" s="86"/>
      <c r="W162" s="89"/>
      <c r="X162" s="89"/>
      <c r="Y162" s="89"/>
      <c r="Z162" s="89"/>
      <c r="AA162" s="89"/>
      <c r="AB162" s="320"/>
      <c r="AC162" s="321"/>
      <c r="AD162" s="89"/>
      <c r="AE162" s="89"/>
      <c r="AF162" s="89"/>
      <c r="AG162" s="89"/>
      <c r="AH162" s="86"/>
      <c r="AI162" s="86"/>
      <c r="AJ162" s="86"/>
      <c r="AK162" s="86"/>
      <c r="AL162" s="86"/>
      <c r="AM162" s="86"/>
      <c r="AN162" s="86"/>
      <c r="AO162" s="86"/>
    </row>
    <row r="163" spans="1:41" s="319" customFormat="1" x14ac:dyDescent="0.2">
      <c r="A163" s="86"/>
      <c r="B163" s="86"/>
      <c r="C163" s="86"/>
      <c r="D163" s="86"/>
      <c r="E163" s="86"/>
      <c r="F163" s="86"/>
      <c r="G163" s="86"/>
      <c r="H163" s="86"/>
      <c r="I163" s="86"/>
      <c r="J163" s="86"/>
      <c r="K163" s="86"/>
      <c r="L163" s="86"/>
      <c r="W163" s="89"/>
      <c r="X163" s="89"/>
      <c r="Y163" s="89"/>
      <c r="Z163" s="89"/>
      <c r="AA163" s="89"/>
      <c r="AB163" s="320"/>
      <c r="AC163" s="321"/>
      <c r="AD163" s="89"/>
      <c r="AE163" s="89"/>
      <c r="AF163" s="89"/>
      <c r="AG163" s="89"/>
      <c r="AH163" s="86"/>
      <c r="AI163" s="86"/>
      <c r="AJ163" s="86"/>
      <c r="AK163" s="86"/>
      <c r="AL163" s="86"/>
      <c r="AM163" s="86"/>
      <c r="AN163" s="86"/>
      <c r="AO163" s="86"/>
    </row>
    <row r="164" spans="1:41" s="319" customFormat="1" x14ac:dyDescent="0.2">
      <c r="A164" s="86"/>
      <c r="B164" s="86"/>
      <c r="C164" s="86"/>
      <c r="D164" s="86"/>
      <c r="E164" s="86"/>
      <c r="F164" s="86"/>
      <c r="G164" s="86"/>
      <c r="H164" s="86"/>
      <c r="I164" s="86"/>
      <c r="J164" s="86"/>
      <c r="K164" s="86"/>
      <c r="L164" s="86"/>
      <c r="W164" s="89"/>
      <c r="X164" s="89"/>
      <c r="Y164" s="89"/>
      <c r="Z164" s="89"/>
      <c r="AA164" s="89"/>
      <c r="AB164" s="320"/>
      <c r="AC164" s="321"/>
      <c r="AD164" s="89"/>
      <c r="AE164" s="89"/>
      <c r="AF164" s="89"/>
      <c r="AG164" s="89"/>
      <c r="AH164" s="86"/>
      <c r="AI164" s="86"/>
      <c r="AJ164" s="86"/>
      <c r="AK164" s="86"/>
      <c r="AL164" s="86"/>
      <c r="AM164" s="86"/>
      <c r="AN164" s="86"/>
      <c r="AO164" s="86"/>
    </row>
    <row r="165" spans="1:41" s="319" customFormat="1" x14ac:dyDescent="0.2">
      <c r="A165" s="86"/>
      <c r="B165" s="86"/>
      <c r="C165" s="86"/>
      <c r="D165" s="86"/>
      <c r="E165" s="86"/>
      <c r="F165" s="86"/>
      <c r="G165" s="86"/>
      <c r="H165" s="86"/>
      <c r="I165" s="86"/>
      <c r="J165" s="86"/>
      <c r="K165" s="86"/>
      <c r="L165" s="86"/>
      <c r="W165" s="89"/>
      <c r="X165" s="89"/>
      <c r="Y165" s="89"/>
      <c r="Z165" s="89"/>
      <c r="AA165" s="89"/>
      <c r="AB165" s="320"/>
      <c r="AC165" s="321"/>
      <c r="AD165" s="89"/>
      <c r="AE165" s="89"/>
      <c r="AF165" s="89"/>
      <c r="AG165" s="89"/>
      <c r="AH165" s="86"/>
      <c r="AI165" s="86"/>
      <c r="AJ165" s="86"/>
      <c r="AK165" s="86"/>
      <c r="AL165" s="86"/>
      <c r="AM165" s="86"/>
      <c r="AN165" s="86"/>
      <c r="AO165" s="86"/>
    </row>
    <row r="166" spans="1:41" s="319" customFormat="1" x14ac:dyDescent="0.2">
      <c r="A166" s="86"/>
      <c r="B166" s="86"/>
      <c r="C166" s="86"/>
      <c r="D166" s="86"/>
      <c r="E166" s="86"/>
      <c r="F166" s="86"/>
      <c r="G166" s="86"/>
      <c r="H166" s="86"/>
      <c r="I166" s="86"/>
      <c r="J166" s="86"/>
      <c r="K166" s="86"/>
      <c r="L166" s="86"/>
      <c r="W166" s="89"/>
      <c r="X166" s="89"/>
      <c r="Y166" s="89"/>
      <c r="Z166" s="89"/>
      <c r="AA166" s="89"/>
      <c r="AB166" s="320"/>
      <c r="AC166" s="321"/>
      <c r="AD166" s="89"/>
      <c r="AE166" s="89"/>
      <c r="AF166" s="89"/>
      <c r="AG166" s="89"/>
      <c r="AH166" s="86"/>
      <c r="AI166" s="86"/>
      <c r="AJ166" s="86"/>
      <c r="AK166" s="86"/>
      <c r="AL166" s="86"/>
      <c r="AM166" s="86"/>
      <c r="AN166" s="86"/>
      <c r="AO166" s="86"/>
    </row>
    <row r="167" spans="1:41" s="319" customFormat="1" x14ac:dyDescent="0.2">
      <c r="A167" s="86"/>
      <c r="B167" s="86"/>
      <c r="C167" s="86"/>
      <c r="D167" s="86"/>
      <c r="E167" s="86"/>
      <c r="F167" s="86"/>
      <c r="G167" s="86"/>
      <c r="H167" s="86"/>
      <c r="I167" s="86"/>
      <c r="J167" s="86"/>
      <c r="K167" s="86"/>
      <c r="L167" s="86"/>
      <c r="W167" s="89"/>
      <c r="X167" s="89"/>
      <c r="Y167" s="89"/>
      <c r="Z167" s="89"/>
      <c r="AA167" s="89"/>
      <c r="AB167" s="320"/>
      <c r="AC167" s="321"/>
      <c r="AD167" s="89"/>
      <c r="AE167" s="89"/>
      <c r="AF167" s="89"/>
      <c r="AG167" s="89"/>
      <c r="AH167" s="86"/>
      <c r="AI167" s="86"/>
      <c r="AJ167" s="86"/>
      <c r="AK167" s="86"/>
      <c r="AL167" s="86"/>
      <c r="AM167" s="86"/>
      <c r="AN167" s="86"/>
      <c r="AO167" s="86"/>
    </row>
    <row r="168" spans="1:41" s="319" customFormat="1" x14ac:dyDescent="0.2">
      <c r="A168" s="86"/>
      <c r="B168" s="86"/>
      <c r="C168" s="86"/>
      <c r="D168" s="86"/>
      <c r="E168" s="86"/>
      <c r="F168" s="86"/>
      <c r="G168" s="86"/>
      <c r="H168" s="86"/>
      <c r="I168" s="86"/>
      <c r="J168" s="86"/>
      <c r="K168" s="86"/>
      <c r="L168" s="86"/>
      <c r="W168" s="89"/>
      <c r="X168" s="89"/>
      <c r="Y168" s="89"/>
      <c r="Z168" s="89"/>
      <c r="AA168" s="89"/>
      <c r="AB168" s="320"/>
      <c r="AC168" s="321"/>
      <c r="AD168" s="89"/>
      <c r="AE168" s="89"/>
      <c r="AF168" s="89"/>
      <c r="AG168" s="89"/>
      <c r="AH168" s="86"/>
      <c r="AI168" s="86"/>
      <c r="AJ168" s="86"/>
      <c r="AK168" s="86"/>
      <c r="AL168" s="86"/>
      <c r="AM168" s="86"/>
      <c r="AN168" s="86"/>
      <c r="AO168" s="86"/>
    </row>
    <row r="169" spans="1:41" s="319" customFormat="1" x14ac:dyDescent="0.2">
      <c r="A169" s="86"/>
      <c r="B169" s="86"/>
      <c r="C169" s="86"/>
      <c r="D169" s="86"/>
      <c r="E169" s="86"/>
      <c r="F169" s="86"/>
      <c r="G169" s="86"/>
      <c r="H169" s="86"/>
      <c r="I169" s="86"/>
      <c r="J169" s="86"/>
      <c r="K169" s="86"/>
      <c r="L169" s="86"/>
      <c r="W169" s="89"/>
      <c r="X169" s="89"/>
      <c r="Y169" s="89"/>
      <c r="Z169" s="89"/>
      <c r="AA169" s="89"/>
      <c r="AB169" s="320"/>
      <c r="AC169" s="321"/>
      <c r="AD169" s="89"/>
      <c r="AE169" s="89"/>
      <c r="AF169" s="89"/>
      <c r="AG169" s="89"/>
      <c r="AH169" s="86"/>
      <c r="AI169" s="86"/>
      <c r="AJ169" s="86"/>
      <c r="AK169" s="86"/>
      <c r="AL169" s="86"/>
      <c r="AM169" s="86"/>
      <c r="AN169" s="86"/>
      <c r="AO169" s="86"/>
    </row>
    <row r="170" spans="1:41" s="319" customFormat="1" x14ac:dyDescent="0.2">
      <c r="A170" s="86"/>
      <c r="B170" s="86"/>
      <c r="C170" s="86"/>
      <c r="D170" s="86"/>
      <c r="E170" s="86"/>
      <c r="F170" s="86"/>
      <c r="G170" s="86"/>
      <c r="H170" s="86"/>
      <c r="I170" s="86"/>
      <c r="J170" s="86"/>
      <c r="K170" s="86"/>
      <c r="L170" s="86"/>
      <c r="W170" s="89"/>
      <c r="X170" s="89"/>
      <c r="Y170" s="89"/>
      <c r="Z170" s="89"/>
      <c r="AA170" s="89"/>
      <c r="AB170" s="320"/>
      <c r="AC170" s="321"/>
      <c r="AD170" s="89"/>
      <c r="AE170" s="89"/>
      <c r="AF170" s="89"/>
      <c r="AG170" s="89"/>
      <c r="AH170" s="86"/>
      <c r="AI170" s="86"/>
      <c r="AJ170" s="86"/>
      <c r="AK170" s="86"/>
      <c r="AL170" s="86"/>
      <c r="AM170" s="86"/>
      <c r="AN170" s="86"/>
      <c r="AO170" s="86"/>
    </row>
    <row r="171" spans="1:41" s="319" customFormat="1" x14ac:dyDescent="0.2">
      <c r="A171" s="86"/>
      <c r="B171" s="86"/>
      <c r="C171" s="86"/>
      <c r="D171" s="86"/>
      <c r="E171" s="86"/>
      <c r="F171" s="86"/>
      <c r="G171" s="86"/>
      <c r="H171" s="86"/>
      <c r="I171" s="86"/>
      <c r="J171" s="86"/>
      <c r="K171" s="86"/>
      <c r="L171" s="86"/>
      <c r="W171" s="89"/>
      <c r="X171" s="89"/>
      <c r="Y171" s="89"/>
      <c r="Z171" s="89"/>
      <c r="AA171" s="89"/>
      <c r="AB171" s="320"/>
      <c r="AC171" s="321"/>
      <c r="AD171" s="89"/>
      <c r="AE171" s="89"/>
      <c r="AF171" s="89"/>
      <c r="AG171" s="89"/>
      <c r="AH171" s="86"/>
      <c r="AI171" s="86"/>
      <c r="AJ171" s="86"/>
      <c r="AK171" s="86"/>
      <c r="AL171" s="86"/>
      <c r="AM171" s="86"/>
      <c r="AN171" s="86"/>
      <c r="AO171" s="86"/>
    </row>
    <row r="172" spans="1:41" s="319" customFormat="1" x14ac:dyDescent="0.2">
      <c r="A172" s="86"/>
      <c r="B172" s="86"/>
      <c r="C172" s="86"/>
      <c r="D172" s="86"/>
      <c r="E172" s="86"/>
      <c r="F172" s="86"/>
      <c r="G172" s="86"/>
      <c r="H172" s="86"/>
      <c r="I172" s="86"/>
      <c r="J172" s="86"/>
      <c r="K172" s="86"/>
      <c r="L172" s="86"/>
      <c r="W172" s="89"/>
      <c r="X172" s="89"/>
      <c r="Y172" s="89"/>
      <c r="Z172" s="89"/>
      <c r="AA172" s="89"/>
      <c r="AB172" s="320"/>
      <c r="AC172" s="321"/>
      <c r="AD172" s="89"/>
      <c r="AE172" s="89"/>
      <c r="AF172" s="89"/>
      <c r="AG172" s="89"/>
      <c r="AH172" s="86"/>
      <c r="AI172" s="86"/>
      <c r="AJ172" s="86"/>
      <c r="AK172" s="86"/>
      <c r="AL172" s="86"/>
      <c r="AM172" s="86"/>
      <c r="AN172" s="86"/>
      <c r="AO172" s="86"/>
    </row>
    <row r="173" spans="1:41" s="319" customFormat="1" x14ac:dyDescent="0.2">
      <c r="A173" s="86"/>
      <c r="B173" s="86"/>
      <c r="C173" s="86"/>
      <c r="D173" s="86"/>
      <c r="E173" s="86"/>
      <c r="F173" s="86"/>
      <c r="G173" s="86"/>
      <c r="H173" s="86"/>
      <c r="I173" s="86"/>
      <c r="J173" s="86"/>
      <c r="K173" s="86"/>
      <c r="L173" s="86"/>
      <c r="W173" s="89"/>
      <c r="X173" s="89"/>
      <c r="Y173" s="89"/>
      <c r="Z173" s="89"/>
      <c r="AA173" s="89"/>
      <c r="AB173" s="320"/>
      <c r="AC173" s="321"/>
      <c r="AD173" s="89"/>
      <c r="AE173" s="89"/>
      <c r="AF173" s="89"/>
      <c r="AG173" s="89"/>
      <c r="AH173" s="86"/>
      <c r="AI173" s="86"/>
      <c r="AJ173" s="86"/>
      <c r="AK173" s="86"/>
      <c r="AL173" s="86"/>
      <c r="AM173" s="86"/>
      <c r="AN173" s="86"/>
      <c r="AO173" s="86"/>
    </row>
    <row r="174" spans="1:41" s="319" customFormat="1" x14ac:dyDescent="0.2">
      <c r="A174" s="86"/>
      <c r="B174" s="86"/>
      <c r="C174" s="86"/>
      <c r="D174" s="86"/>
      <c r="E174" s="86"/>
      <c r="F174" s="86"/>
      <c r="G174" s="86"/>
      <c r="H174" s="86"/>
      <c r="I174" s="86"/>
      <c r="J174" s="86"/>
      <c r="K174" s="86"/>
      <c r="L174" s="86"/>
      <c r="W174" s="89"/>
      <c r="X174" s="89"/>
      <c r="Y174" s="89"/>
      <c r="Z174" s="89"/>
      <c r="AA174" s="89"/>
      <c r="AB174" s="320"/>
      <c r="AC174" s="321"/>
      <c r="AD174" s="89"/>
      <c r="AE174" s="89"/>
      <c r="AF174" s="89"/>
      <c r="AG174" s="89"/>
      <c r="AH174" s="86"/>
      <c r="AI174" s="86"/>
      <c r="AJ174" s="86"/>
      <c r="AK174" s="86"/>
      <c r="AL174" s="86"/>
      <c r="AM174" s="86"/>
      <c r="AN174" s="86"/>
      <c r="AO174" s="86"/>
    </row>
    <row r="175" spans="1:41" s="319" customFormat="1" x14ac:dyDescent="0.2">
      <c r="A175" s="86"/>
      <c r="B175" s="86"/>
      <c r="C175" s="86"/>
      <c r="D175" s="86"/>
      <c r="E175" s="86"/>
      <c r="F175" s="86"/>
      <c r="G175" s="86"/>
      <c r="H175" s="86"/>
      <c r="I175" s="86"/>
      <c r="J175" s="86"/>
      <c r="K175" s="86"/>
      <c r="L175" s="86"/>
      <c r="W175" s="89"/>
      <c r="X175" s="89"/>
      <c r="Y175" s="89"/>
      <c r="Z175" s="89"/>
      <c r="AA175" s="89"/>
      <c r="AB175" s="320"/>
      <c r="AC175" s="321"/>
      <c r="AD175" s="89"/>
      <c r="AE175" s="89"/>
      <c r="AF175" s="89"/>
      <c r="AG175" s="89"/>
      <c r="AH175" s="86"/>
      <c r="AI175" s="86"/>
      <c r="AJ175" s="86"/>
      <c r="AK175" s="86"/>
      <c r="AL175" s="86"/>
      <c r="AM175" s="86"/>
      <c r="AN175" s="86"/>
      <c r="AO175" s="86"/>
    </row>
    <row r="176" spans="1:41" s="319" customFormat="1" x14ac:dyDescent="0.2">
      <c r="A176" s="86"/>
      <c r="B176" s="86"/>
      <c r="C176" s="86"/>
      <c r="D176" s="86"/>
      <c r="E176" s="86"/>
      <c r="F176" s="86"/>
      <c r="G176" s="86"/>
      <c r="H176" s="86"/>
      <c r="I176" s="86"/>
      <c r="J176" s="86"/>
      <c r="K176" s="86"/>
      <c r="L176" s="86"/>
      <c r="W176" s="89"/>
      <c r="X176" s="89"/>
      <c r="Y176" s="89"/>
      <c r="Z176" s="89"/>
      <c r="AA176" s="89"/>
      <c r="AB176" s="320"/>
      <c r="AC176" s="321"/>
      <c r="AD176" s="89"/>
      <c r="AE176" s="89"/>
      <c r="AF176" s="89"/>
      <c r="AG176" s="89"/>
      <c r="AH176" s="86"/>
      <c r="AI176" s="86"/>
      <c r="AJ176" s="86"/>
      <c r="AK176" s="86"/>
      <c r="AL176" s="86"/>
      <c r="AM176" s="86"/>
      <c r="AN176" s="86"/>
      <c r="AO176" s="86"/>
    </row>
    <row r="177" spans="1:41" s="319" customFormat="1" x14ac:dyDescent="0.2">
      <c r="A177" s="86"/>
      <c r="B177" s="86"/>
      <c r="C177" s="86"/>
      <c r="D177" s="86"/>
      <c r="E177" s="86"/>
      <c r="F177" s="86"/>
      <c r="G177" s="86"/>
      <c r="H177" s="86"/>
      <c r="I177" s="86"/>
      <c r="J177" s="86"/>
      <c r="K177" s="86"/>
      <c r="L177" s="86"/>
      <c r="W177" s="89"/>
      <c r="X177" s="89"/>
      <c r="Y177" s="89"/>
      <c r="Z177" s="89"/>
      <c r="AA177" s="89"/>
      <c r="AB177" s="320"/>
      <c r="AC177" s="321"/>
      <c r="AD177" s="89"/>
      <c r="AE177" s="89"/>
      <c r="AF177" s="89"/>
      <c r="AG177" s="89"/>
      <c r="AH177" s="86"/>
      <c r="AI177" s="86"/>
      <c r="AJ177" s="86"/>
      <c r="AK177" s="86"/>
      <c r="AL177" s="86"/>
      <c r="AM177" s="86"/>
      <c r="AN177" s="86"/>
      <c r="AO177" s="86"/>
    </row>
    <row r="178" spans="1:41" s="319" customFormat="1" x14ac:dyDescent="0.2">
      <c r="A178" s="86"/>
      <c r="B178" s="86"/>
      <c r="C178" s="86"/>
      <c r="D178" s="86"/>
      <c r="E178" s="86"/>
      <c r="F178" s="86"/>
      <c r="G178" s="86"/>
      <c r="H178" s="86"/>
      <c r="I178" s="86"/>
      <c r="J178" s="86"/>
      <c r="K178" s="86"/>
      <c r="L178" s="86"/>
      <c r="W178" s="89"/>
      <c r="X178" s="89"/>
      <c r="Y178" s="89"/>
      <c r="Z178" s="89"/>
      <c r="AA178" s="89"/>
      <c r="AB178" s="320"/>
      <c r="AC178" s="321"/>
      <c r="AD178" s="89"/>
      <c r="AE178" s="89"/>
      <c r="AF178" s="89"/>
      <c r="AG178" s="89"/>
      <c r="AH178" s="86"/>
      <c r="AI178" s="86"/>
      <c r="AJ178" s="86"/>
      <c r="AK178" s="86"/>
      <c r="AL178" s="86"/>
      <c r="AM178" s="86"/>
      <c r="AN178" s="86"/>
      <c r="AO178" s="86"/>
    </row>
    <row r="179" spans="1:41" s="319" customFormat="1" x14ac:dyDescent="0.2">
      <c r="A179" s="86"/>
      <c r="B179" s="86"/>
      <c r="C179" s="86"/>
      <c r="D179" s="86"/>
      <c r="E179" s="86"/>
      <c r="F179" s="86"/>
      <c r="G179" s="86"/>
      <c r="H179" s="86"/>
      <c r="I179" s="86"/>
      <c r="J179" s="86"/>
      <c r="K179" s="86"/>
      <c r="L179" s="86"/>
      <c r="W179" s="89"/>
      <c r="X179" s="89"/>
      <c r="Y179" s="89"/>
      <c r="Z179" s="89"/>
      <c r="AA179" s="89"/>
      <c r="AB179" s="320"/>
      <c r="AC179" s="321"/>
      <c r="AD179" s="89"/>
      <c r="AE179" s="89"/>
      <c r="AF179" s="89"/>
      <c r="AG179" s="89"/>
      <c r="AH179" s="86"/>
      <c r="AI179" s="86"/>
      <c r="AJ179" s="86"/>
      <c r="AK179" s="86"/>
      <c r="AL179" s="86"/>
      <c r="AM179" s="86"/>
      <c r="AN179" s="86"/>
      <c r="AO179" s="86"/>
    </row>
    <row r="180" spans="1:41" s="319" customFormat="1" x14ac:dyDescent="0.2">
      <c r="A180" s="86"/>
      <c r="B180" s="86"/>
      <c r="C180" s="86"/>
      <c r="D180" s="86"/>
      <c r="E180" s="86"/>
      <c r="F180" s="86"/>
      <c r="G180" s="86"/>
      <c r="H180" s="86"/>
      <c r="I180" s="86"/>
      <c r="J180" s="86"/>
      <c r="K180" s="86"/>
      <c r="L180" s="86"/>
      <c r="W180" s="89"/>
      <c r="X180" s="89"/>
      <c r="Y180" s="89"/>
      <c r="Z180" s="89"/>
      <c r="AA180" s="89"/>
      <c r="AB180" s="320"/>
      <c r="AC180" s="321"/>
      <c r="AD180" s="89"/>
      <c r="AE180" s="89"/>
      <c r="AF180" s="89"/>
      <c r="AG180" s="89"/>
      <c r="AH180" s="86"/>
      <c r="AI180" s="86"/>
      <c r="AJ180" s="86"/>
      <c r="AK180" s="86"/>
      <c r="AL180" s="86"/>
      <c r="AM180" s="86"/>
      <c r="AN180" s="86"/>
      <c r="AO180" s="86"/>
    </row>
    <row r="181" spans="1:41" s="319" customFormat="1" x14ac:dyDescent="0.2">
      <c r="A181" s="86"/>
      <c r="B181" s="86"/>
      <c r="C181" s="86"/>
      <c r="D181" s="86"/>
      <c r="E181" s="86"/>
      <c r="F181" s="86"/>
      <c r="G181" s="86"/>
      <c r="H181" s="86"/>
      <c r="I181" s="86"/>
      <c r="J181" s="86"/>
      <c r="K181" s="86"/>
      <c r="L181" s="86"/>
      <c r="W181" s="89"/>
      <c r="X181" s="89"/>
      <c r="Y181" s="89"/>
      <c r="Z181" s="89"/>
      <c r="AA181" s="89"/>
      <c r="AB181" s="320"/>
      <c r="AC181" s="321"/>
      <c r="AD181" s="89"/>
      <c r="AE181" s="89"/>
      <c r="AF181" s="89"/>
      <c r="AG181" s="89"/>
      <c r="AH181" s="86"/>
      <c r="AI181" s="86"/>
      <c r="AJ181" s="86"/>
      <c r="AK181" s="86"/>
      <c r="AL181" s="86"/>
      <c r="AM181" s="86"/>
      <c r="AN181" s="86"/>
      <c r="AO181" s="86"/>
    </row>
    <row r="182" spans="1:41" s="319" customFormat="1" x14ac:dyDescent="0.2">
      <c r="A182" s="86"/>
      <c r="B182" s="86"/>
      <c r="C182" s="86"/>
      <c r="D182" s="86"/>
      <c r="E182" s="86"/>
      <c r="F182" s="86"/>
      <c r="G182" s="86"/>
      <c r="H182" s="86"/>
      <c r="I182" s="86"/>
      <c r="J182" s="86"/>
      <c r="K182" s="86"/>
      <c r="L182" s="86"/>
      <c r="W182" s="89"/>
      <c r="X182" s="89"/>
      <c r="Y182" s="89"/>
      <c r="Z182" s="89"/>
      <c r="AA182" s="89"/>
      <c r="AB182" s="320"/>
      <c r="AC182" s="321"/>
      <c r="AD182" s="89"/>
      <c r="AE182" s="89"/>
      <c r="AF182" s="89"/>
      <c r="AG182" s="89"/>
      <c r="AH182" s="86"/>
      <c r="AI182" s="86"/>
      <c r="AJ182" s="86"/>
      <c r="AK182" s="86"/>
      <c r="AL182" s="86"/>
      <c r="AM182" s="86"/>
      <c r="AN182" s="86"/>
      <c r="AO182" s="86"/>
    </row>
    <row r="183" spans="1:41" s="319" customFormat="1" x14ac:dyDescent="0.2">
      <c r="A183" s="86"/>
      <c r="B183" s="86"/>
      <c r="C183" s="86"/>
      <c r="D183" s="86"/>
      <c r="E183" s="86"/>
      <c r="F183" s="86"/>
      <c r="G183" s="86"/>
      <c r="H183" s="86"/>
      <c r="I183" s="86"/>
      <c r="J183" s="86"/>
      <c r="K183" s="86"/>
      <c r="L183" s="86"/>
      <c r="W183" s="89"/>
      <c r="X183" s="89"/>
      <c r="Y183" s="89"/>
      <c r="Z183" s="89"/>
      <c r="AA183" s="89"/>
      <c r="AB183" s="320"/>
      <c r="AC183" s="321"/>
      <c r="AD183" s="89"/>
      <c r="AE183" s="89"/>
      <c r="AF183" s="89"/>
      <c r="AG183" s="89"/>
      <c r="AH183" s="86"/>
      <c r="AI183" s="86"/>
      <c r="AJ183" s="86"/>
      <c r="AK183" s="86"/>
      <c r="AL183" s="86"/>
      <c r="AM183" s="86"/>
      <c r="AN183" s="86"/>
      <c r="AO183" s="86"/>
    </row>
    <row r="184" spans="1:41" s="319" customFormat="1" x14ac:dyDescent="0.2">
      <c r="A184" s="86"/>
      <c r="B184" s="86"/>
      <c r="C184" s="86"/>
      <c r="D184" s="86"/>
      <c r="E184" s="86"/>
      <c r="F184" s="86"/>
      <c r="G184" s="86"/>
      <c r="H184" s="86"/>
      <c r="I184" s="86"/>
      <c r="J184" s="86"/>
      <c r="K184" s="86"/>
      <c r="L184" s="86"/>
      <c r="W184" s="89"/>
      <c r="X184" s="89"/>
      <c r="Y184" s="89"/>
      <c r="Z184" s="89"/>
      <c r="AA184" s="89"/>
      <c r="AB184" s="320"/>
      <c r="AC184" s="321"/>
      <c r="AD184" s="89"/>
      <c r="AE184" s="89"/>
      <c r="AF184" s="89"/>
      <c r="AG184" s="89"/>
      <c r="AH184" s="86"/>
      <c r="AI184" s="86"/>
      <c r="AJ184" s="86"/>
      <c r="AK184" s="86"/>
      <c r="AL184" s="86"/>
      <c r="AM184" s="86"/>
      <c r="AN184" s="86"/>
      <c r="AO184" s="86"/>
    </row>
    <row r="185" spans="1:41" s="319" customFormat="1" x14ac:dyDescent="0.2">
      <c r="A185" s="86"/>
      <c r="B185" s="86"/>
      <c r="C185" s="86"/>
      <c r="D185" s="86"/>
      <c r="E185" s="86"/>
      <c r="F185" s="86"/>
      <c r="G185" s="86"/>
      <c r="H185" s="86"/>
      <c r="I185" s="86"/>
      <c r="J185" s="86"/>
      <c r="K185" s="86"/>
      <c r="L185" s="86"/>
      <c r="W185" s="89"/>
      <c r="X185" s="89"/>
      <c r="Y185" s="89"/>
      <c r="Z185" s="89"/>
      <c r="AA185" s="89"/>
      <c r="AB185" s="320"/>
      <c r="AC185" s="321"/>
      <c r="AD185" s="89"/>
      <c r="AE185" s="89"/>
      <c r="AF185" s="89"/>
      <c r="AG185" s="89"/>
      <c r="AH185" s="86"/>
      <c r="AI185" s="86"/>
      <c r="AJ185" s="86"/>
      <c r="AK185" s="86"/>
      <c r="AL185" s="86"/>
      <c r="AM185" s="86"/>
      <c r="AN185" s="86"/>
      <c r="AO185" s="86"/>
    </row>
    <row r="186" spans="1:41" s="319" customFormat="1" x14ac:dyDescent="0.2">
      <c r="A186" s="86"/>
      <c r="B186" s="86"/>
      <c r="C186" s="86"/>
      <c r="D186" s="86"/>
      <c r="E186" s="86"/>
      <c r="F186" s="86"/>
      <c r="G186" s="86"/>
      <c r="H186" s="86"/>
      <c r="I186" s="86"/>
      <c r="J186" s="86"/>
      <c r="K186" s="86"/>
      <c r="L186" s="86"/>
      <c r="W186" s="89"/>
      <c r="X186" s="89"/>
      <c r="Y186" s="89"/>
      <c r="Z186" s="89"/>
      <c r="AA186" s="89"/>
      <c r="AB186" s="320"/>
      <c r="AC186" s="321"/>
      <c r="AD186" s="89"/>
      <c r="AE186" s="89"/>
      <c r="AF186" s="89"/>
      <c r="AG186" s="89"/>
      <c r="AH186" s="86"/>
      <c r="AI186" s="86"/>
      <c r="AJ186" s="86"/>
      <c r="AK186" s="86"/>
      <c r="AL186" s="86"/>
      <c r="AM186" s="86"/>
      <c r="AN186" s="86"/>
      <c r="AO186" s="86"/>
    </row>
    <row r="187" spans="1:41" s="319" customFormat="1" x14ac:dyDescent="0.2">
      <c r="A187" s="86"/>
      <c r="B187" s="86"/>
      <c r="C187" s="86"/>
      <c r="D187" s="86"/>
      <c r="E187" s="86"/>
      <c r="F187" s="86"/>
      <c r="G187" s="86"/>
      <c r="H187" s="86"/>
      <c r="I187" s="86"/>
      <c r="J187" s="86"/>
      <c r="K187" s="86"/>
      <c r="L187" s="86"/>
      <c r="W187" s="89"/>
      <c r="X187" s="89"/>
      <c r="Y187" s="89"/>
      <c r="Z187" s="89"/>
      <c r="AA187" s="89"/>
      <c r="AB187" s="320"/>
      <c r="AC187" s="321"/>
      <c r="AD187" s="89"/>
      <c r="AE187" s="89"/>
      <c r="AF187" s="89"/>
      <c r="AG187" s="89"/>
      <c r="AH187" s="86"/>
      <c r="AI187" s="86"/>
      <c r="AJ187" s="86"/>
      <c r="AK187" s="86"/>
      <c r="AL187" s="86"/>
      <c r="AM187" s="86"/>
      <c r="AN187" s="86"/>
      <c r="AO187" s="86"/>
    </row>
    <row r="188" spans="1:41" s="319" customFormat="1" x14ac:dyDescent="0.2">
      <c r="A188" s="86"/>
      <c r="B188" s="86"/>
      <c r="C188" s="86"/>
      <c r="D188" s="86"/>
      <c r="E188" s="86"/>
      <c r="F188" s="86"/>
      <c r="G188" s="86"/>
      <c r="H188" s="86"/>
      <c r="I188" s="86"/>
      <c r="J188" s="86"/>
      <c r="K188" s="86"/>
      <c r="L188" s="86"/>
      <c r="W188" s="89"/>
      <c r="X188" s="89"/>
      <c r="Y188" s="89"/>
      <c r="Z188" s="89"/>
      <c r="AA188" s="89"/>
      <c r="AB188" s="320"/>
      <c r="AC188" s="321"/>
      <c r="AD188" s="89"/>
      <c r="AE188" s="89"/>
      <c r="AF188" s="89"/>
      <c r="AG188" s="89"/>
      <c r="AH188" s="86"/>
      <c r="AI188" s="86"/>
      <c r="AJ188" s="86"/>
      <c r="AK188" s="86"/>
      <c r="AL188" s="86"/>
      <c r="AM188" s="86"/>
      <c r="AN188" s="86"/>
      <c r="AO188" s="86"/>
    </row>
    <row r="189" spans="1:41" s="319" customFormat="1" x14ac:dyDescent="0.2">
      <c r="A189" s="86"/>
      <c r="B189" s="86"/>
      <c r="C189" s="86"/>
      <c r="D189" s="86"/>
      <c r="E189" s="86"/>
      <c r="F189" s="86"/>
      <c r="G189" s="86"/>
      <c r="H189" s="86"/>
      <c r="I189" s="86"/>
      <c r="J189" s="86"/>
      <c r="K189" s="86"/>
      <c r="L189" s="86"/>
      <c r="W189" s="89"/>
      <c r="X189" s="89"/>
      <c r="Y189" s="89"/>
      <c r="Z189" s="89"/>
      <c r="AA189" s="89"/>
      <c r="AB189" s="320"/>
      <c r="AC189" s="321"/>
      <c r="AD189" s="89"/>
      <c r="AE189" s="89"/>
      <c r="AF189" s="89"/>
      <c r="AG189" s="89"/>
      <c r="AH189" s="86"/>
      <c r="AI189" s="86"/>
      <c r="AJ189" s="86"/>
      <c r="AK189" s="86"/>
      <c r="AL189" s="86"/>
      <c r="AM189" s="86"/>
      <c r="AN189" s="86"/>
      <c r="AO189" s="86"/>
    </row>
    <row r="190" spans="1:41" s="319" customFormat="1" x14ac:dyDescent="0.2">
      <c r="A190" s="86"/>
      <c r="B190" s="86"/>
      <c r="C190" s="86"/>
      <c r="D190" s="86"/>
      <c r="E190" s="86"/>
      <c r="F190" s="86"/>
      <c r="G190" s="86"/>
      <c r="H190" s="86"/>
      <c r="I190" s="86"/>
      <c r="J190" s="86"/>
      <c r="K190" s="86"/>
      <c r="L190" s="86"/>
      <c r="W190" s="89"/>
      <c r="X190" s="89"/>
      <c r="Y190" s="89"/>
      <c r="Z190" s="89"/>
      <c r="AA190" s="89"/>
      <c r="AB190" s="320"/>
      <c r="AC190" s="321"/>
      <c r="AD190" s="89"/>
      <c r="AE190" s="89"/>
      <c r="AF190" s="89"/>
      <c r="AG190" s="89"/>
      <c r="AH190" s="86"/>
      <c r="AI190" s="86"/>
      <c r="AJ190" s="86"/>
      <c r="AK190" s="86"/>
      <c r="AL190" s="86"/>
      <c r="AM190" s="86"/>
      <c r="AN190" s="86"/>
      <c r="AO190" s="86"/>
    </row>
    <row r="191" spans="1:41" s="319" customFormat="1" x14ac:dyDescent="0.2">
      <c r="A191" s="86"/>
      <c r="B191" s="86"/>
      <c r="C191" s="86"/>
      <c r="D191" s="86"/>
      <c r="E191" s="86"/>
      <c r="F191" s="86"/>
      <c r="G191" s="86"/>
      <c r="H191" s="86"/>
      <c r="I191" s="86"/>
      <c r="J191" s="86"/>
      <c r="K191" s="86"/>
      <c r="L191" s="86"/>
      <c r="W191" s="89"/>
      <c r="X191" s="89"/>
      <c r="Y191" s="89"/>
      <c r="Z191" s="89"/>
      <c r="AA191" s="89"/>
      <c r="AB191" s="320"/>
      <c r="AC191" s="321"/>
      <c r="AD191" s="89"/>
      <c r="AE191" s="89"/>
      <c r="AF191" s="89"/>
      <c r="AG191" s="89"/>
      <c r="AH191" s="86"/>
      <c r="AI191" s="86"/>
      <c r="AJ191" s="86"/>
      <c r="AK191" s="86"/>
      <c r="AL191" s="86"/>
      <c r="AM191" s="86"/>
      <c r="AN191" s="86"/>
      <c r="AO191" s="86"/>
    </row>
    <row r="192" spans="1:41" s="319" customFormat="1" x14ac:dyDescent="0.2">
      <c r="A192" s="86"/>
      <c r="B192" s="86"/>
      <c r="C192" s="86"/>
      <c r="D192" s="86"/>
      <c r="E192" s="86"/>
      <c r="F192" s="86"/>
      <c r="G192" s="86"/>
      <c r="H192" s="86"/>
      <c r="I192" s="86"/>
      <c r="J192" s="86"/>
      <c r="K192" s="86"/>
      <c r="L192" s="86"/>
      <c r="W192" s="89"/>
      <c r="X192" s="89"/>
      <c r="Y192" s="89"/>
      <c r="Z192" s="89"/>
      <c r="AA192" s="89"/>
      <c r="AB192" s="320"/>
      <c r="AC192" s="321"/>
      <c r="AD192" s="89"/>
      <c r="AE192" s="89"/>
      <c r="AF192" s="89"/>
      <c r="AG192" s="89"/>
      <c r="AH192" s="86"/>
      <c r="AI192" s="86"/>
      <c r="AJ192" s="86"/>
      <c r="AK192" s="86"/>
      <c r="AL192" s="86"/>
      <c r="AM192" s="86"/>
      <c r="AN192" s="86"/>
      <c r="AO192" s="86"/>
    </row>
    <row r="193" spans="1:41" s="319" customFormat="1" x14ac:dyDescent="0.2">
      <c r="A193" s="86"/>
      <c r="B193" s="86"/>
      <c r="C193" s="86"/>
      <c r="D193" s="86"/>
      <c r="E193" s="86"/>
      <c r="F193" s="86"/>
      <c r="G193" s="86"/>
      <c r="H193" s="86"/>
      <c r="I193" s="86"/>
      <c r="J193" s="86"/>
      <c r="K193" s="86"/>
      <c r="L193" s="86"/>
      <c r="W193" s="89"/>
      <c r="X193" s="89"/>
      <c r="Y193" s="89"/>
      <c r="Z193" s="89"/>
      <c r="AA193" s="89"/>
      <c r="AB193" s="320"/>
      <c r="AC193" s="321"/>
      <c r="AD193" s="89"/>
      <c r="AE193" s="89"/>
      <c r="AF193" s="89"/>
      <c r="AG193" s="89"/>
      <c r="AH193" s="86"/>
      <c r="AI193" s="86"/>
      <c r="AJ193" s="86"/>
      <c r="AK193" s="86"/>
      <c r="AL193" s="86"/>
      <c r="AM193" s="86"/>
      <c r="AN193" s="86"/>
      <c r="AO193" s="86"/>
    </row>
    <row r="194" spans="1:41" s="319" customFormat="1" x14ac:dyDescent="0.2">
      <c r="A194" s="86"/>
      <c r="B194" s="86"/>
      <c r="C194" s="86"/>
      <c r="D194" s="86"/>
      <c r="E194" s="86"/>
      <c r="F194" s="86"/>
      <c r="G194" s="86"/>
      <c r="H194" s="86"/>
      <c r="I194" s="86"/>
      <c r="J194" s="86"/>
      <c r="K194" s="86"/>
      <c r="L194" s="86"/>
      <c r="W194" s="89"/>
      <c r="X194" s="89"/>
      <c r="Y194" s="89"/>
      <c r="Z194" s="89"/>
      <c r="AA194" s="89"/>
      <c r="AB194" s="320"/>
      <c r="AC194" s="321"/>
      <c r="AD194" s="89"/>
      <c r="AE194" s="89"/>
      <c r="AF194" s="89"/>
      <c r="AG194" s="89"/>
      <c r="AH194" s="86"/>
      <c r="AI194" s="86"/>
      <c r="AJ194" s="86"/>
      <c r="AK194" s="86"/>
      <c r="AL194" s="86"/>
      <c r="AM194" s="86"/>
      <c r="AN194" s="86"/>
      <c r="AO194" s="86"/>
    </row>
    <row r="195" spans="1:41" s="319" customFormat="1" x14ac:dyDescent="0.2">
      <c r="A195" s="86"/>
      <c r="B195" s="86"/>
      <c r="C195" s="86"/>
      <c r="D195" s="86"/>
      <c r="E195" s="86"/>
      <c r="F195" s="86"/>
      <c r="G195" s="86"/>
      <c r="H195" s="86"/>
      <c r="I195" s="86"/>
      <c r="J195" s="86"/>
      <c r="K195" s="86"/>
      <c r="L195" s="86"/>
      <c r="W195" s="89"/>
      <c r="X195" s="89"/>
      <c r="Y195" s="89"/>
      <c r="Z195" s="89"/>
      <c r="AA195" s="89"/>
      <c r="AB195" s="320"/>
      <c r="AC195" s="321"/>
      <c r="AD195" s="89"/>
      <c r="AE195" s="89"/>
      <c r="AF195" s="89"/>
      <c r="AG195" s="89"/>
      <c r="AH195" s="86"/>
      <c r="AI195" s="86"/>
      <c r="AJ195" s="86"/>
      <c r="AK195" s="86"/>
      <c r="AL195" s="86"/>
      <c r="AM195" s="86"/>
      <c r="AN195" s="86"/>
      <c r="AO195" s="86"/>
    </row>
    <row r="196" spans="1:41" s="319" customFormat="1" x14ac:dyDescent="0.2">
      <c r="A196" s="86"/>
      <c r="B196" s="86"/>
      <c r="C196" s="86"/>
      <c r="D196" s="86"/>
      <c r="E196" s="86"/>
      <c r="F196" s="86"/>
      <c r="G196" s="86"/>
      <c r="H196" s="86"/>
      <c r="I196" s="86"/>
      <c r="J196" s="86"/>
      <c r="K196" s="86"/>
      <c r="L196" s="86"/>
      <c r="W196" s="89"/>
      <c r="X196" s="89"/>
      <c r="Y196" s="89"/>
      <c r="Z196" s="89"/>
      <c r="AA196" s="89"/>
      <c r="AB196" s="320"/>
      <c r="AC196" s="321"/>
      <c r="AD196" s="89"/>
      <c r="AE196" s="89"/>
      <c r="AF196" s="89"/>
      <c r="AG196" s="89"/>
      <c r="AH196" s="86"/>
      <c r="AI196" s="86"/>
      <c r="AJ196" s="86"/>
      <c r="AK196" s="86"/>
      <c r="AL196" s="86"/>
      <c r="AM196" s="86"/>
      <c r="AN196" s="86"/>
      <c r="AO196" s="86"/>
    </row>
    <row r="197" spans="1:41" s="319" customFormat="1" x14ac:dyDescent="0.2">
      <c r="A197" s="86"/>
      <c r="B197" s="86"/>
      <c r="C197" s="86"/>
      <c r="D197" s="86"/>
      <c r="E197" s="86"/>
      <c r="F197" s="86"/>
      <c r="G197" s="86"/>
      <c r="H197" s="86"/>
      <c r="I197" s="86"/>
      <c r="J197" s="86"/>
      <c r="K197" s="86"/>
      <c r="L197" s="86"/>
      <c r="W197" s="89"/>
      <c r="X197" s="89"/>
      <c r="Y197" s="89"/>
      <c r="Z197" s="89"/>
      <c r="AA197" s="89"/>
      <c r="AB197" s="320"/>
      <c r="AC197" s="321"/>
      <c r="AD197" s="89"/>
      <c r="AE197" s="89"/>
      <c r="AF197" s="89"/>
      <c r="AG197" s="89"/>
      <c r="AH197" s="86"/>
      <c r="AI197" s="86"/>
      <c r="AJ197" s="86"/>
      <c r="AK197" s="86"/>
      <c r="AL197" s="86"/>
      <c r="AM197" s="86"/>
      <c r="AN197" s="86"/>
      <c r="AO197" s="86"/>
    </row>
    <row r="198" spans="1:41" s="319" customFormat="1" x14ac:dyDescent="0.2">
      <c r="A198" s="86"/>
      <c r="B198" s="86"/>
      <c r="C198" s="86"/>
      <c r="D198" s="86"/>
      <c r="E198" s="86"/>
      <c r="F198" s="86"/>
      <c r="G198" s="86"/>
      <c r="H198" s="86"/>
      <c r="I198" s="86"/>
      <c r="J198" s="86"/>
      <c r="K198" s="86"/>
      <c r="L198" s="86"/>
      <c r="W198" s="89"/>
      <c r="X198" s="89"/>
      <c r="Y198" s="89"/>
      <c r="Z198" s="89"/>
      <c r="AA198" s="89"/>
      <c r="AB198" s="320"/>
      <c r="AC198" s="321"/>
      <c r="AD198" s="89"/>
      <c r="AE198" s="89"/>
      <c r="AF198" s="89"/>
      <c r="AG198" s="89"/>
      <c r="AH198" s="86"/>
      <c r="AI198" s="86"/>
      <c r="AJ198" s="86"/>
      <c r="AK198" s="86"/>
      <c r="AL198" s="86"/>
      <c r="AM198" s="86"/>
      <c r="AN198" s="86"/>
      <c r="AO198" s="86"/>
    </row>
    <row r="199" spans="1:41" s="319" customFormat="1" x14ac:dyDescent="0.2">
      <c r="A199" s="86"/>
      <c r="B199" s="86"/>
      <c r="C199" s="86"/>
      <c r="D199" s="86"/>
      <c r="E199" s="86"/>
      <c r="F199" s="86"/>
      <c r="G199" s="86"/>
      <c r="H199" s="86"/>
      <c r="I199" s="86"/>
      <c r="J199" s="86"/>
      <c r="K199" s="86"/>
      <c r="L199" s="86"/>
      <c r="W199" s="89"/>
      <c r="X199" s="89"/>
      <c r="Y199" s="89"/>
      <c r="Z199" s="89"/>
      <c r="AA199" s="89"/>
      <c r="AB199" s="320"/>
      <c r="AC199" s="321"/>
      <c r="AD199" s="89"/>
      <c r="AE199" s="89"/>
      <c r="AF199" s="89"/>
      <c r="AG199" s="89"/>
      <c r="AH199" s="86"/>
      <c r="AI199" s="86"/>
      <c r="AJ199" s="86"/>
      <c r="AK199" s="86"/>
      <c r="AL199" s="86"/>
      <c r="AM199" s="86"/>
      <c r="AN199" s="86"/>
      <c r="AO199" s="86"/>
    </row>
    <row r="200" spans="1:41" s="319" customFormat="1" x14ac:dyDescent="0.2">
      <c r="A200" s="86"/>
      <c r="B200" s="86"/>
      <c r="C200" s="86"/>
      <c r="D200" s="86"/>
      <c r="E200" s="86"/>
      <c r="F200" s="86"/>
      <c r="G200" s="86"/>
      <c r="H200" s="86"/>
      <c r="I200" s="86"/>
      <c r="J200" s="86"/>
      <c r="K200" s="86"/>
      <c r="L200" s="86"/>
      <c r="W200" s="89"/>
      <c r="X200" s="89"/>
      <c r="Y200" s="89"/>
      <c r="Z200" s="89"/>
      <c r="AA200" s="89"/>
      <c r="AB200" s="320"/>
      <c r="AC200" s="321"/>
      <c r="AD200" s="89"/>
      <c r="AE200" s="89"/>
      <c r="AF200" s="89"/>
      <c r="AG200" s="89"/>
      <c r="AH200" s="86"/>
      <c r="AI200" s="86"/>
      <c r="AJ200" s="86"/>
      <c r="AK200" s="86"/>
      <c r="AL200" s="86"/>
      <c r="AM200" s="86"/>
      <c r="AN200" s="86"/>
      <c r="AO200" s="86"/>
    </row>
    <row r="201" spans="1:41" s="319" customFormat="1" x14ac:dyDescent="0.2">
      <c r="A201" s="86"/>
      <c r="B201" s="86"/>
      <c r="C201" s="86"/>
      <c r="D201" s="86"/>
      <c r="E201" s="86"/>
      <c r="F201" s="86"/>
      <c r="G201" s="86"/>
      <c r="H201" s="86"/>
      <c r="I201" s="86"/>
      <c r="J201" s="86"/>
      <c r="K201" s="86"/>
      <c r="L201" s="86"/>
      <c r="W201" s="89"/>
      <c r="X201" s="89"/>
      <c r="Y201" s="89"/>
      <c r="Z201" s="89"/>
      <c r="AA201" s="89"/>
      <c r="AB201" s="320"/>
      <c r="AC201" s="321"/>
      <c r="AD201" s="89"/>
      <c r="AE201" s="89"/>
      <c r="AF201" s="89"/>
      <c r="AG201" s="89"/>
      <c r="AH201" s="86"/>
      <c r="AI201" s="86"/>
      <c r="AJ201" s="86"/>
      <c r="AK201" s="86"/>
      <c r="AL201" s="86"/>
      <c r="AM201" s="86"/>
      <c r="AN201" s="86"/>
      <c r="AO201" s="86"/>
    </row>
    <row r="202" spans="1:41" s="319" customFormat="1" x14ac:dyDescent="0.2">
      <c r="A202" s="86"/>
      <c r="B202" s="86"/>
      <c r="C202" s="86"/>
      <c r="D202" s="86"/>
      <c r="E202" s="86"/>
      <c r="F202" s="86"/>
      <c r="G202" s="86"/>
      <c r="H202" s="86"/>
      <c r="I202" s="86"/>
      <c r="J202" s="86"/>
      <c r="K202" s="86"/>
      <c r="L202" s="86"/>
      <c r="W202" s="89"/>
      <c r="X202" s="89"/>
      <c r="Y202" s="89"/>
      <c r="Z202" s="89"/>
      <c r="AA202" s="89"/>
      <c r="AB202" s="320"/>
      <c r="AC202" s="321"/>
      <c r="AD202" s="89"/>
      <c r="AE202" s="89"/>
      <c r="AF202" s="89"/>
      <c r="AG202" s="89"/>
      <c r="AH202" s="86"/>
      <c r="AI202" s="86"/>
      <c r="AJ202" s="86"/>
      <c r="AK202" s="86"/>
      <c r="AL202" s="86"/>
      <c r="AM202" s="86"/>
      <c r="AN202" s="86"/>
      <c r="AO202" s="86"/>
    </row>
    <row r="203" spans="1:41" s="319" customFormat="1" x14ac:dyDescent="0.2">
      <c r="A203" s="86"/>
      <c r="B203" s="86"/>
      <c r="C203" s="86"/>
      <c r="D203" s="86"/>
      <c r="E203" s="86"/>
      <c r="F203" s="86"/>
      <c r="G203" s="86"/>
      <c r="H203" s="86"/>
      <c r="I203" s="86"/>
      <c r="J203" s="86"/>
      <c r="K203" s="86"/>
      <c r="L203" s="86"/>
      <c r="W203" s="89"/>
      <c r="X203" s="89"/>
      <c r="Y203" s="89"/>
      <c r="Z203" s="89"/>
      <c r="AA203" s="89"/>
      <c r="AB203" s="320"/>
      <c r="AC203" s="321"/>
      <c r="AD203" s="89"/>
      <c r="AE203" s="89"/>
      <c r="AF203" s="89"/>
      <c r="AG203" s="89"/>
      <c r="AH203" s="86"/>
      <c r="AI203" s="86"/>
      <c r="AJ203" s="86"/>
      <c r="AK203" s="86"/>
      <c r="AL203" s="86"/>
      <c r="AM203" s="86"/>
      <c r="AN203" s="86"/>
      <c r="AO203" s="86"/>
    </row>
    <row r="204" spans="1:41" s="319" customFormat="1" x14ac:dyDescent="0.2">
      <c r="A204" s="86"/>
      <c r="B204" s="86"/>
      <c r="C204" s="86"/>
      <c r="D204" s="86"/>
      <c r="E204" s="86"/>
      <c r="F204" s="86"/>
      <c r="G204" s="86"/>
      <c r="H204" s="86"/>
      <c r="I204" s="86"/>
      <c r="J204" s="86"/>
      <c r="K204" s="86"/>
      <c r="L204" s="86"/>
      <c r="W204" s="89"/>
      <c r="X204" s="89"/>
      <c r="Y204" s="89"/>
      <c r="Z204" s="89"/>
      <c r="AA204" s="89"/>
      <c r="AB204" s="320"/>
      <c r="AC204" s="321"/>
      <c r="AD204" s="89"/>
      <c r="AE204" s="89"/>
      <c r="AF204" s="89"/>
      <c r="AG204" s="89"/>
      <c r="AH204" s="86"/>
      <c r="AI204" s="86"/>
      <c r="AJ204" s="86"/>
      <c r="AK204" s="86"/>
      <c r="AL204" s="86"/>
      <c r="AM204" s="86"/>
      <c r="AN204" s="86"/>
      <c r="AO204" s="86"/>
    </row>
    <row r="205" spans="1:41" s="319" customFormat="1" x14ac:dyDescent="0.2">
      <c r="A205" s="86"/>
      <c r="B205" s="86"/>
      <c r="C205" s="86"/>
      <c r="D205" s="86"/>
      <c r="E205" s="86"/>
      <c r="F205" s="86"/>
      <c r="G205" s="86"/>
      <c r="H205" s="86"/>
      <c r="I205" s="86"/>
      <c r="J205" s="86"/>
      <c r="K205" s="86"/>
      <c r="L205" s="86"/>
      <c r="W205" s="89"/>
      <c r="X205" s="89"/>
      <c r="Y205" s="89"/>
      <c r="Z205" s="89"/>
      <c r="AA205" s="89"/>
      <c r="AB205" s="320"/>
      <c r="AC205" s="321"/>
      <c r="AD205" s="89"/>
      <c r="AE205" s="89"/>
      <c r="AF205" s="89"/>
      <c r="AG205" s="89"/>
      <c r="AH205" s="86"/>
      <c r="AI205" s="86"/>
      <c r="AJ205" s="86"/>
      <c r="AK205" s="86"/>
      <c r="AL205" s="86"/>
      <c r="AM205" s="86"/>
      <c r="AN205" s="86"/>
      <c r="AO205" s="86"/>
    </row>
    <row r="206" spans="1:41" s="319" customFormat="1" x14ac:dyDescent="0.2">
      <c r="A206" s="86"/>
      <c r="B206" s="86"/>
      <c r="C206" s="86"/>
      <c r="D206" s="86"/>
      <c r="E206" s="86"/>
      <c r="F206" s="86"/>
      <c r="G206" s="86"/>
      <c r="H206" s="86"/>
      <c r="I206" s="86"/>
      <c r="J206" s="86"/>
      <c r="K206" s="86"/>
      <c r="L206" s="86"/>
      <c r="W206" s="89"/>
      <c r="X206" s="89"/>
      <c r="Y206" s="89"/>
      <c r="Z206" s="89"/>
      <c r="AA206" s="89"/>
      <c r="AB206" s="320"/>
      <c r="AC206" s="321"/>
      <c r="AD206" s="89"/>
      <c r="AE206" s="89"/>
      <c r="AF206" s="89"/>
      <c r="AG206" s="89"/>
      <c r="AH206" s="86"/>
      <c r="AI206" s="86"/>
      <c r="AJ206" s="86"/>
      <c r="AK206" s="86"/>
      <c r="AL206" s="86"/>
      <c r="AM206" s="86"/>
      <c r="AN206" s="86"/>
      <c r="AO206" s="86"/>
    </row>
    <row r="207" spans="1:41" s="319" customFormat="1" x14ac:dyDescent="0.2">
      <c r="A207" s="86"/>
      <c r="B207" s="86"/>
      <c r="C207" s="86"/>
      <c r="D207" s="86"/>
      <c r="E207" s="86"/>
      <c r="F207" s="86"/>
      <c r="G207" s="86"/>
      <c r="H207" s="86"/>
      <c r="I207" s="86"/>
      <c r="J207" s="86"/>
      <c r="K207" s="86"/>
      <c r="L207" s="86"/>
      <c r="W207" s="89"/>
      <c r="X207" s="89"/>
      <c r="Y207" s="89"/>
      <c r="Z207" s="89"/>
      <c r="AA207" s="89"/>
      <c r="AB207" s="320"/>
      <c r="AC207" s="321"/>
      <c r="AD207" s="89"/>
      <c r="AE207" s="89"/>
      <c r="AF207" s="89"/>
      <c r="AG207" s="89"/>
      <c r="AH207" s="86"/>
      <c r="AI207" s="86"/>
      <c r="AJ207" s="86"/>
      <c r="AK207" s="86"/>
      <c r="AL207" s="86"/>
      <c r="AM207" s="86"/>
      <c r="AN207" s="86"/>
      <c r="AO207" s="86"/>
    </row>
    <row r="208" spans="1:41" s="319" customFormat="1" x14ac:dyDescent="0.2">
      <c r="A208" s="86"/>
      <c r="B208" s="86"/>
      <c r="C208" s="86"/>
      <c r="D208" s="86"/>
      <c r="E208" s="86"/>
      <c r="F208" s="86"/>
      <c r="G208" s="86"/>
      <c r="H208" s="86"/>
      <c r="I208" s="86"/>
      <c r="J208" s="86"/>
      <c r="K208" s="86"/>
      <c r="L208" s="86"/>
      <c r="W208" s="89"/>
      <c r="X208" s="89"/>
      <c r="Y208" s="89"/>
      <c r="Z208" s="89"/>
      <c r="AA208" s="89"/>
      <c r="AB208" s="320"/>
      <c r="AC208" s="321"/>
      <c r="AD208" s="89"/>
      <c r="AE208" s="89"/>
      <c r="AF208" s="89"/>
      <c r="AG208" s="89"/>
      <c r="AH208" s="86"/>
      <c r="AI208" s="86"/>
      <c r="AJ208" s="86"/>
      <c r="AK208" s="86"/>
      <c r="AL208" s="86"/>
      <c r="AM208" s="86"/>
      <c r="AN208" s="86"/>
      <c r="AO208" s="86"/>
    </row>
    <row r="209" spans="1:41" s="319" customFormat="1" x14ac:dyDescent="0.2">
      <c r="A209" s="86"/>
      <c r="B209" s="86"/>
      <c r="C209" s="86"/>
      <c r="D209" s="86"/>
      <c r="E209" s="86"/>
      <c r="F209" s="86"/>
      <c r="G209" s="86"/>
      <c r="H209" s="86"/>
      <c r="I209" s="86"/>
      <c r="J209" s="86"/>
      <c r="K209" s="86"/>
      <c r="L209" s="86"/>
      <c r="W209" s="89"/>
      <c r="X209" s="89"/>
      <c r="Y209" s="89"/>
      <c r="Z209" s="89"/>
      <c r="AA209" s="89"/>
      <c r="AB209" s="320"/>
      <c r="AC209" s="321"/>
      <c r="AD209" s="89"/>
      <c r="AE209" s="89"/>
      <c r="AF209" s="89"/>
      <c r="AG209" s="89"/>
      <c r="AH209" s="86"/>
      <c r="AI209" s="86"/>
      <c r="AJ209" s="86"/>
      <c r="AK209" s="86"/>
      <c r="AL209" s="86"/>
      <c r="AM209" s="86"/>
      <c r="AN209" s="86"/>
      <c r="AO209" s="86"/>
    </row>
    <row r="210" spans="1:41" s="319" customFormat="1" x14ac:dyDescent="0.2">
      <c r="A210" s="86"/>
      <c r="B210" s="86"/>
      <c r="C210" s="86"/>
      <c r="D210" s="86"/>
      <c r="E210" s="86"/>
      <c r="F210" s="86"/>
      <c r="G210" s="86"/>
      <c r="H210" s="86"/>
      <c r="I210" s="86"/>
      <c r="J210" s="86"/>
      <c r="K210" s="86"/>
      <c r="L210" s="86"/>
      <c r="W210" s="89"/>
      <c r="X210" s="89"/>
      <c r="Y210" s="89"/>
      <c r="Z210" s="89"/>
      <c r="AA210" s="89"/>
      <c r="AB210" s="320"/>
      <c r="AC210" s="321"/>
      <c r="AD210" s="89"/>
      <c r="AE210" s="89"/>
      <c r="AF210" s="89"/>
      <c r="AG210" s="89"/>
      <c r="AH210" s="86"/>
      <c r="AI210" s="86"/>
      <c r="AJ210" s="86"/>
      <c r="AK210" s="86"/>
      <c r="AL210" s="86"/>
      <c r="AM210" s="86"/>
      <c r="AN210" s="86"/>
      <c r="AO210" s="86"/>
    </row>
    <row r="211" spans="1:41" s="319" customFormat="1" x14ac:dyDescent="0.2">
      <c r="A211" s="86"/>
      <c r="B211" s="86"/>
      <c r="C211" s="86"/>
      <c r="D211" s="86"/>
      <c r="E211" s="86"/>
      <c r="F211" s="86"/>
      <c r="G211" s="86"/>
      <c r="H211" s="86"/>
      <c r="I211" s="86"/>
      <c r="J211" s="86"/>
      <c r="K211" s="86"/>
      <c r="L211" s="86"/>
      <c r="W211" s="89"/>
      <c r="X211" s="89"/>
      <c r="Y211" s="89"/>
      <c r="Z211" s="89"/>
      <c r="AA211" s="89"/>
      <c r="AB211" s="320"/>
      <c r="AC211" s="321"/>
      <c r="AD211" s="89"/>
      <c r="AE211" s="89"/>
      <c r="AF211" s="89"/>
      <c r="AG211" s="89"/>
      <c r="AH211" s="86"/>
      <c r="AI211" s="86"/>
      <c r="AJ211" s="86"/>
      <c r="AK211" s="86"/>
      <c r="AL211" s="86"/>
      <c r="AM211" s="86"/>
      <c r="AN211" s="86"/>
      <c r="AO211" s="86"/>
    </row>
    <row r="212" spans="1:41" s="319" customFormat="1" x14ac:dyDescent="0.2">
      <c r="A212" s="86"/>
      <c r="B212" s="86"/>
      <c r="C212" s="86"/>
      <c r="D212" s="86"/>
      <c r="E212" s="86"/>
      <c r="F212" s="86"/>
      <c r="G212" s="86"/>
      <c r="H212" s="86"/>
      <c r="I212" s="86"/>
      <c r="J212" s="86"/>
      <c r="K212" s="86"/>
      <c r="L212" s="86"/>
      <c r="W212" s="89"/>
      <c r="X212" s="89"/>
      <c r="Y212" s="89"/>
      <c r="Z212" s="89"/>
      <c r="AA212" s="89"/>
      <c r="AB212" s="320"/>
      <c r="AC212" s="321"/>
      <c r="AD212" s="89"/>
      <c r="AE212" s="89"/>
      <c r="AF212" s="89"/>
      <c r="AG212" s="89"/>
      <c r="AH212" s="86"/>
      <c r="AI212" s="86"/>
      <c r="AJ212" s="86"/>
      <c r="AK212" s="86"/>
      <c r="AL212" s="86"/>
      <c r="AM212" s="86"/>
      <c r="AN212" s="86"/>
      <c r="AO212" s="86"/>
    </row>
    <row r="213" spans="1:41" s="319" customFormat="1" x14ac:dyDescent="0.2">
      <c r="A213" s="86"/>
      <c r="B213" s="86"/>
      <c r="C213" s="86"/>
      <c r="D213" s="86"/>
      <c r="E213" s="86"/>
      <c r="F213" s="86"/>
      <c r="G213" s="86"/>
      <c r="H213" s="86"/>
      <c r="I213" s="86"/>
      <c r="J213" s="86"/>
      <c r="K213" s="86"/>
      <c r="L213" s="86"/>
      <c r="W213" s="89"/>
      <c r="X213" s="89"/>
      <c r="Y213" s="89"/>
      <c r="Z213" s="89"/>
      <c r="AA213" s="89"/>
      <c r="AB213" s="320"/>
      <c r="AC213" s="321"/>
      <c r="AD213" s="89"/>
      <c r="AE213" s="89"/>
      <c r="AF213" s="89"/>
      <c r="AG213" s="89"/>
      <c r="AH213" s="86"/>
      <c r="AI213" s="86"/>
      <c r="AJ213" s="86"/>
      <c r="AK213" s="86"/>
      <c r="AL213" s="86"/>
      <c r="AM213" s="86"/>
      <c r="AN213" s="86"/>
      <c r="AO213" s="86"/>
    </row>
    <row r="214" spans="1:41" s="319" customFormat="1" x14ac:dyDescent="0.2">
      <c r="A214" s="86"/>
      <c r="B214" s="86"/>
      <c r="C214" s="86"/>
      <c r="D214" s="86"/>
      <c r="E214" s="86"/>
      <c r="F214" s="86"/>
      <c r="G214" s="86"/>
      <c r="H214" s="86"/>
      <c r="I214" s="86"/>
      <c r="J214" s="86"/>
      <c r="K214" s="86"/>
      <c r="L214" s="86"/>
      <c r="W214" s="89"/>
      <c r="X214" s="89"/>
      <c r="Y214" s="89"/>
      <c r="Z214" s="89"/>
      <c r="AA214" s="89"/>
      <c r="AB214" s="320"/>
      <c r="AC214" s="321"/>
      <c r="AD214" s="89"/>
      <c r="AE214" s="89"/>
      <c r="AF214" s="89"/>
      <c r="AG214" s="89"/>
      <c r="AH214" s="86"/>
      <c r="AI214" s="86"/>
      <c r="AJ214" s="86"/>
      <c r="AK214" s="86"/>
      <c r="AL214" s="86"/>
      <c r="AM214" s="86"/>
      <c r="AN214" s="86"/>
      <c r="AO214" s="86"/>
    </row>
    <row r="215" spans="1:41" s="319" customFormat="1" x14ac:dyDescent="0.2">
      <c r="A215" s="86"/>
      <c r="B215" s="86"/>
      <c r="C215" s="86"/>
      <c r="D215" s="86"/>
      <c r="E215" s="86"/>
      <c r="F215" s="86"/>
      <c r="G215" s="86"/>
      <c r="H215" s="86"/>
      <c r="I215" s="86"/>
      <c r="J215" s="86"/>
      <c r="K215" s="86"/>
      <c r="L215" s="86"/>
      <c r="W215" s="89"/>
      <c r="X215" s="89"/>
      <c r="Y215" s="89"/>
      <c r="Z215" s="89"/>
      <c r="AA215" s="89"/>
      <c r="AB215" s="320"/>
      <c r="AC215" s="321"/>
      <c r="AD215" s="89"/>
      <c r="AE215" s="89"/>
      <c r="AF215" s="89"/>
      <c r="AG215" s="89"/>
      <c r="AH215" s="86"/>
      <c r="AI215" s="86"/>
      <c r="AJ215" s="86"/>
      <c r="AK215" s="86"/>
      <c r="AL215" s="86"/>
      <c r="AM215" s="86"/>
      <c r="AN215" s="86"/>
      <c r="AO215" s="86"/>
    </row>
    <row r="216" spans="1:41" s="319" customFormat="1" x14ac:dyDescent="0.2">
      <c r="A216" s="86"/>
      <c r="B216" s="86"/>
      <c r="C216" s="86"/>
      <c r="D216" s="86"/>
      <c r="E216" s="86"/>
      <c r="F216" s="86"/>
      <c r="G216" s="86"/>
      <c r="H216" s="86"/>
      <c r="I216" s="86"/>
      <c r="J216" s="86"/>
      <c r="K216" s="86"/>
      <c r="L216" s="86"/>
      <c r="W216" s="89"/>
      <c r="X216" s="89"/>
      <c r="Y216" s="89"/>
      <c r="Z216" s="89"/>
      <c r="AA216" s="89"/>
      <c r="AB216" s="320"/>
      <c r="AC216" s="321"/>
      <c r="AD216" s="89"/>
      <c r="AE216" s="89"/>
      <c r="AF216" s="89"/>
      <c r="AG216" s="89"/>
      <c r="AH216" s="86"/>
      <c r="AI216" s="86"/>
      <c r="AJ216" s="86"/>
      <c r="AK216" s="86"/>
      <c r="AL216" s="86"/>
      <c r="AM216" s="86"/>
      <c r="AN216" s="86"/>
      <c r="AO216" s="86"/>
    </row>
    <row r="217" spans="1:41" s="319" customFormat="1" x14ac:dyDescent="0.2">
      <c r="A217" s="86"/>
      <c r="B217" s="86"/>
      <c r="C217" s="86"/>
      <c r="D217" s="86"/>
      <c r="E217" s="86"/>
      <c r="F217" s="86"/>
      <c r="G217" s="86"/>
      <c r="H217" s="86"/>
      <c r="I217" s="86"/>
      <c r="J217" s="86"/>
      <c r="K217" s="86"/>
      <c r="L217" s="86"/>
      <c r="W217" s="89"/>
      <c r="X217" s="89"/>
      <c r="Y217" s="89"/>
      <c r="Z217" s="89"/>
      <c r="AA217" s="89"/>
      <c r="AB217" s="320"/>
      <c r="AC217" s="321"/>
      <c r="AD217" s="89"/>
      <c r="AE217" s="89"/>
      <c r="AF217" s="89"/>
      <c r="AG217" s="89"/>
      <c r="AH217" s="86"/>
      <c r="AI217" s="86"/>
      <c r="AJ217" s="86"/>
      <c r="AK217" s="86"/>
      <c r="AL217" s="86"/>
      <c r="AM217" s="86"/>
      <c r="AN217" s="86"/>
      <c r="AO217" s="86"/>
    </row>
    <row r="218" spans="1:41" s="319" customFormat="1" x14ac:dyDescent="0.2">
      <c r="A218" s="86"/>
      <c r="B218" s="86"/>
      <c r="C218" s="86"/>
      <c r="D218" s="86"/>
      <c r="E218" s="86"/>
      <c r="F218" s="86"/>
      <c r="G218" s="86"/>
      <c r="H218" s="86"/>
      <c r="I218" s="86"/>
      <c r="J218" s="86"/>
      <c r="K218" s="86"/>
      <c r="L218" s="86"/>
      <c r="W218" s="89"/>
      <c r="X218" s="89"/>
      <c r="Y218" s="89"/>
      <c r="Z218" s="89"/>
      <c r="AA218" s="89"/>
      <c r="AB218" s="320"/>
      <c r="AC218" s="321"/>
      <c r="AD218" s="89"/>
      <c r="AE218" s="89"/>
      <c r="AF218" s="89"/>
      <c r="AG218" s="89"/>
      <c r="AH218" s="86"/>
      <c r="AI218" s="86"/>
      <c r="AJ218" s="86"/>
      <c r="AK218" s="86"/>
      <c r="AL218" s="86"/>
      <c r="AM218" s="86"/>
      <c r="AN218" s="86"/>
      <c r="AO218" s="86"/>
    </row>
    <row r="219" spans="1:41" s="319" customFormat="1" x14ac:dyDescent="0.2">
      <c r="A219" s="86"/>
      <c r="B219" s="86"/>
      <c r="C219" s="86"/>
      <c r="D219" s="86"/>
      <c r="E219" s="86"/>
      <c r="F219" s="86"/>
      <c r="G219" s="86"/>
      <c r="H219" s="86"/>
      <c r="I219" s="86"/>
      <c r="J219" s="86"/>
      <c r="K219" s="86"/>
      <c r="L219" s="86"/>
      <c r="W219" s="89"/>
      <c r="X219" s="89"/>
      <c r="Y219" s="89"/>
      <c r="Z219" s="89"/>
      <c r="AA219" s="89"/>
      <c r="AB219" s="320"/>
      <c r="AC219" s="321"/>
      <c r="AD219" s="89"/>
      <c r="AE219" s="89"/>
      <c r="AF219" s="89"/>
      <c r="AG219" s="89"/>
      <c r="AH219" s="86"/>
      <c r="AI219" s="86"/>
      <c r="AJ219" s="86"/>
      <c r="AK219" s="86"/>
      <c r="AL219" s="86"/>
      <c r="AM219" s="86"/>
      <c r="AN219" s="86"/>
      <c r="AO219" s="86"/>
    </row>
    <row r="220" spans="1:41" s="319" customFormat="1" x14ac:dyDescent="0.2">
      <c r="A220" s="86"/>
      <c r="B220" s="86"/>
      <c r="C220" s="86"/>
      <c r="D220" s="86"/>
      <c r="E220" s="86"/>
      <c r="F220" s="86"/>
      <c r="G220" s="86"/>
      <c r="H220" s="86"/>
      <c r="I220" s="86"/>
      <c r="J220" s="86"/>
      <c r="K220" s="86"/>
      <c r="L220" s="86"/>
      <c r="W220" s="89"/>
      <c r="X220" s="89"/>
      <c r="Y220" s="89"/>
      <c r="Z220" s="89"/>
      <c r="AA220" s="89"/>
      <c r="AB220" s="320"/>
      <c r="AC220" s="321"/>
      <c r="AD220" s="89"/>
      <c r="AE220" s="89"/>
      <c r="AF220" s="89"/>
      <c r="AG220" s="89"/>
      <c r="AH220" s="86"/>
      <c r="AI220" s="86"/>
      <c r="AJ220" s="86"/>
      <c r="AK220" s="86"/>
      <c r="AL220" s="86"/>
      <c r="AM220" s="86"/>
      <c r="AN220" s="86"/>
      <c r="AO220" s="86"/>
    </row>
    <row r="221" spans="1:41" s="319" customFormat="1" x14ac:dyDescent="0.2">
      <c r="A221" s="86"/>
      <c r="B221" s="86"/>
      <c r="C221" s="86"/>
      <c r="D221" s="86"/>
      <c r="E221" s="86"/>
      <c r="F221" s="86"/>
      <c r="G221" s="86"/>
      <c r="H221" s="86"/>
      <c r="I221" s="86"/>
      <c r="J221" s="86"/>
      <c r="K221" s="86"/>
      <c r="L221" s="86"/>
      <c r="W221" s="89"/>
      <c r="X221" s="89"/>
      <c r="Y221" s="89"/>
      <c r="Z221" s="89"/>
      <c r="AA221" s="89"/>
      <c r="AB221" s="320"/>
      <c r="AC221" s="321"/>
      <c r="AD221" s="89"/>
      <c r="AE221" s="89"/>
      <c r="AF221" s="89"/>
      <c r="AG221" s="89"/>
      <c r="AH221" s="86"/>
      <c r="AI221" s="86"/>
      <c r="AJ221" s="86"/>
      <c r="AK221" s="86"/>
      <c r="AL221" s="86"/>
      <c r="AM221" s="86"/>
      <c r="AN221" s="86"/>
      <c r="AO221" s="86"/>
    </row>
    <row r="222" spans="1:41" s="319" customFormat="1" x14ac:dyDescent="0.2">
      <c r="A222" s="86"/>
      <c r="B222" s="86"/>
      <c r="C222" s="86"/>
      <c r="D222" s="86"/>
      <c r="E222" s="86"/>
      <c r="F222" s="86"/>
      <c r="G222" s="86"/>
      <c r="H222" s="86"/>
      <c r="I222" s="86"/>
      <c r="J222" s="86"/>
      <c r="K222" s="86"/>
      <c r="L222" s="86"/>
      <c r="W222" s="89"/>
      <c r="X222" s="89"/>
      <c r="Y222" s="89"/>
      <c r="Z222" s="89"/>
      <c r="AA222" s="89"/>
      <c r="AB222" s="320"/>
      <c r="AC222" s="321"/>
      <c r="AD222" s="89"/>
      <c r="AE222" s="89"/>
      <c r="AF222" s="89"/>
      <c r="AG222" s="89"/>
      <c r="AH222" s="86"/>
      <c r="AI222" s="86"/>
      <c r="AJ222" s="86"/>
      <c r="AK222" s="86"/>
      <c r="AL222" s="86"/>
      <c r="AM222" s="86"/>
      <c r="AN222" s="86"/>
      <c r="AO222" s="86"/>
    </row>
  </sheetData>
  <mergeCells count="48">
    <mergeCell ref="C10:H10"/>
    <mergeCell ref="I10:O10"/>
    <mergeCell ref="H3:L3"/>
    <mergeCell ref="D7:F7"/>
    <mergeCell ref="D8:F8"/>
    <mergeCell ref="D5:F5"/>
    <mergeCell ref="D6:F6"/>
    <mergeCell ref="C11:C12"/>
    <mergeCell ref="D11:F11"/>
    <mergeCell ref="G11:I11"/>
    <mergeCell ref="J11:L11"/>
    <mergeCell ref="M11:O11"/>
    <mergeCell ref="D29:F29"/>
    <mergeCell ref="G29:I29"/>
    <mergeCell ref="J29:L29"/>
    <mergeCell ref="M29:O29"/>
    <mergeCell ref="D30:F30"/>
    <mergeCell ref="G30:I30"/>
    <mergeCell ref="J30:L30"/>
    <mergeCell ref="M30:O30"/>
    <mergeCell ref="AC11:AF11"/>
    <mergeCell ref="D28:F28"/>
    <mergeCell ref="G28:I28"/>
    <mergeCell ref="J28:L28"/>
    <mergeCell ref="M28:O28"/>
    <mergeCell ref="X11:AA11"/>
    <mergeCell ref="N31:O31"/>
    <mergeCell ref="D37:F37"/>
    <mergeCell ref="G37:I37"/>
    <mergeCell ref="J37:L37"/>
    <mergeCell ref="M37:O37"/>
    <mergeCell ref="M32:O32"/>
    <mergeCell ref="C34:O34"/>
    <mergeCell ref="D36:F36"/>
    <mergeCell ref="G36:I36"/>
    <mergeCell ref="J36:L36"/>
    <mergeCell ref="M36:O36"/>
    <mergeCell ref="D35:F35"/>
    <mergeCell ref="G35:I35"/>
    <mergeCell ref="J32:L32"/>
    <mergeCell ref="J35:L35"/>
    <mergeCell ref="M35:O35"/>
    <mergeCell ref="C31:D31"/>
    <mergeCell ref="G32:I32"/>
    <mergeCell ref="E31:F31"/>
    <mergeCell ref="H31:I31"/>
    <mergeCell ref="K31:L31"/>
    <mergeCell ref="D32:F32"/>
  </mergeCells>
  <conditionalFormatting sqref="K22">
    <cfRule type="cellIs" dxfId="40" priority="96" operator="lessThan">
      <formula>$J$22</formula>
    </cfRule>
  </conditionalFormatting>
  <conditionalFormatting sqref="K21">
    <cfRule type="cellIs" dxfId="39" priority="91" operator="lessThan">
      <formula>$J$22</formula>
    </cfRule>
  </conditionalFormatting>
  <conditionalFormatting sqref="K18">
    <cfRule type="cellIs" dxfId="38" priority="41" operator="lessThan">
      <formula>$J$18</formula>
    </cfRule>
  </conditionalFormatting>
  <conditionalFormatting sqref="K13">
    <cfRule type="cellIs" dxfId="37" priority="38" operator="lessThan">
      <formula>$J$13</formula>
    </cfRule>
  </conditionalFormatting>
  <conditionalFormatting sqref="K16">
    <cfRule type="cellIs" dxfId="36" priority="37" operator="lessThan">
      <formula>$J$13</formula>
    </cfRule>
  </conditionalFormatting>
  <conditionalFormatting sqref="K13">
    <cfRule type="cellIs" dxfId="35" priority="36" operator="lessThan">
      <formula>$J$14</formula>
    </cfRule>
  </conditionalFormatting>
  <conditionalFormatting sqref="K16">
    <cfRule type="cellIs" dxfId="34" priority="35" operator="lessThan">
      <formula>$J$14</formula>
    </cfRule>
  </conditionalFormatting>
  <conditionalFormatting sqref="K16">
    <cfRule type="cellIs" dxfId="33" priority="34" operator="lessThan">
      <formula>$J$16</formula>
    </cfRule>
  </conditionalFormatting>
  <conditionalFormatting sqref="K14">
    <cfRule type="cellIs" dxfId="32" priority="33" operator="lessThan">
      <formula>$J$13</formula>
    </cfRule>
  </conditionalFormatting>
  <conditionalFormatting sqref="K14">
    <cfRule type="cellIs" dxfId="31" priority="32" operator="lessThan">
      <formula>$J$14</formula>
    </cfRule>
  </conditionalFormatting>
  <conditionalFormatting sqref="K15">
    <cfRule type="cellIs" dxfId="30" priority="31" operator="lessThan">
      <formula>$J$13</formula>
    </cfRule>
  </conditionalFormatting>
  <conditionalFormatting sqref="K15">
    <cfRule type="cellIs" dxfId="29" priority="30" operator="lessThan">
      <formula>$J$14</formula>
    </cfRule>
  </conditionalFormatting>
  <conditionalFormatting sqref="N13">
    <cfRule type="cellIs" dxfId="28" priority="29" operator="lessThan">
      <formula>$J$13</formula>
    </cfRule>
  </conditionalFormatting>
  <conditionalFormatting sqref="N16">
    <cfRule type="cellIs" dxfId="27" priority="28" operator="lessThan">
      <formula>$J$13</formula>
    </cfRule>
  </conditionalFormatting>
  <conditionalFormatting sqref="N13">
    <cfRule type="cellIs" dxfId="26" priority="27" operator="lessThan">
      <formula>$J$14</formula>
    </cfRule>
  </conditionalFormatting>
  <conditionalFormatting sqref="N16">
    <cfRule type="cellIs" dxfId="25" priority="26" operator="lessThan">
      <formula>$J$14</formula>
    </cfRule>
  </conditionalFormatting>
  <conditionalFormatting sqref="N16">
    <cfRule type="cellIs" dxfId="24" priority="25" operator="lessThan">
      <formula>$J$16</formula>
    </cfRule>
  </conditionalFormatting>
  <conditionalFormatting sqref="N14">
    <cfRule type="cellIs" dxfId="23" priority="24" operator="lessThan">
      <formula>$J$13</formula>
    </cfRule>
  </conditionalFormatting>
  <conditionalFormatting sqref="N14">
    <cfRule type="cellIs" dxfId="22" priority="23" operator="lessThan">
      <formula>$J$14</formula>
    </cfRule>
  </conditionalFormatting>
  <conditionalFormatting sqref="N15">
    <cfRule type="cellIs" dxfId="21" priority="22" operator="lessThan">
      <formula>$J$13</formula>
    </cfRule>
  </conditionalFormatting>
  <conditionalFormatting sqref="N15">
    <cfRule type="cellIs" dxfId="20" priority="21" operator="lessThan">
      <formula>$J$14</formula>
    </cfRule>
  </conditionalFormatting>
  <conditionalFormatting sqref="H13">
    <cfRule type="cellIs" dxfId="19" priority="20" operator="lessThan">
      <formula>$J$13</formula>
    </cfRule>
  </conditionalFormatting>
  <conditionalFormatting sqref="H13">
    <cfRule type="cellIs" dxfId="18" priority="19" operator="lessThan">
      <formula>$D$13</formula>
    </cfRule>
  </conditionalFormatting>
  <conditionalFormatting sqref="H15">
    <cfRule type="cellIs" dxfId="17" priority="18" operator="lessThan">
      <formula>$J$13</formula>
    </cfRule>
  </conditionalFormatting>
  <conditionalFormatting sqref="H15">
    <cfRule type="cellIs" dxfId="16" priority="17" operator="lessThan">
      <formula>$J$15</formula>
    </cfRule>
  </conditionalFormatting>
  <conditionalFormatting sqref="H15">
    <cfRule type="cellIs" dxfId="15" priority="16" operator="lessThan">
      <formula>$D$17</formula>
    </cfRule>
  </conditionalFormatting>
  <conditionalFormatting sqref="H15:H17">
    <cfRule type="cellIs" dxfId="14" priority="15" operator="lessThan">
      <formula>$J$13</formula>
    </cfRule>
  </conditionalFormatting>
  <conditionalFormatting sqref="H15:H17">
    <cfRule type="cellIs" dxfId="13" priority="14" operator="lessThan">
      <formula>$J$15</formula>
    </cfRule>
  </conditionalFormatting>
  <conditionalFormatting sqref="H15:H17">
    <cfRule type="cellIs" dxfId="12" priority="13" operator="lessThan">
      <formula>$D$17</formula>
    </cfRule>
  </conditionalFormatting>
  <conditionalFormatting sqref="H13">
    <cfRule type="cellIs" dxfId="11" priority="12" operator="lessThan">
      <formula>$J$13</formula>
    </cfRule>
  </conditionalFormatting>
  <conditionalFormatting sqref="H15">
    <cfRule type="cellIs" dxfId="10" priority="11" operator="lessThan">
      <formula>$J$13</formula>
    </cfRule>
  </conditionalFormatting>
  <conditionalFormatting sqref="H15">
    <cfRule type="cellIs" dxfId="9" priority="10" operator="lessThan">
      <formula>$J$15</formula>
    </cfRule>
  </conditionalFormatting>
  <conditionalFormatting sqref="H15">
    <cfRule type="cellIs" dxfId="8" priority="9" operator="lessThan">
      <formula>$D$13</formula>
    </cfRule>
  </conditionalFormatting>
  <conditionalFormatting sqref="H15:H17">
    <cfRule type="cellIs" dxfId="7" priority="8" operator="lessThan">
      <formula>$J$13</formula>
    </cfRule>
  </conditionalFormatting>
  <conditionalFormatting sqref="H14">
    <cfRule type="cellIs" dxfId="6" priority="7" operator="lessThan">
      <formula>$J$13</formula>
    </cfRule>
  </conditionalFormatting>
  <conditionalFormatting sqref="H14">
    <cfRule type="cellIs" dxfId="5" priority="6" operator="lessThan">
      <formula>$J$14</formula>
    </cfRule>
  </conditionalFormatting>
  <conditionalFormatting sqref="K20">
    <cfRule type="cellIs" dxfId="4" priority="5" operator="lessThan">
      <formula>$J$22</formula>
    </cfRule>
  </conditionalFormatting>
  <conditionalFormatting sqref="K17">
    <cfRule type="cellIs" dxfId="3" priority="4" operator="lessThan">
      <formula>$J$18</formula>
    </cfRule>
  </conditionalFormatting>
  <conditionalFormatting sqref="K15">
    <cfRule type="cellIs" dxfId="2" priority="3" operator="lessThan">
      <formula>$J$13</formula>
    </cfRule>
  </conditionalFormatting>
  <conditionalFormatting sqref="K15">
    <cfRule type="cellIs" dxfId="1" priority="2" operator="lessThan">
      <formula>$J$14</formula>
    </cfRule>
  </conditionalFormatting>
  <conditionalFormatting sqref="K15">
    <cfRule type="cellIs" dxfId="0" priority="1" operator="lessThan">
      <formula>$J$16</formula>
    </cfRule>
  </conditionalFormatting>
  <pageMargins left="0.7" right="0.7" top="0.75" bottom="0.75" header="0.3" footer="0.3"/>
  <pageSetup paperSize="9" scale="14"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Ombudsman</vt:lpstr>
      <vt:lpstr>Executive</vt:lpstr>
      <vt:lpstr>Account Fix</vt:lpstr>
      <vt:lpstr>Team Performance</vt:lpstr>
      <vt:lpstr>Dashboard</vt:lpstr>
    </vt:vector>
  </TitlesOfParts>
  <Company>Teleperformance UK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Ahmed</dc:creator>
  <cp:lastModifiedBy>Phillip Dearn</cp:lastModifiedBy>
  <cp:lastPrinted>2015-07-17T09:19:32Z</cp:lastPrinted>
  <dcterms:created xsi:type="dcterms:W3CDTF">2015-04-24T10:14:43Z</dcterms:created>
  <dcterms:modified xsi:type="dcterms:W3CDTF">2016-08-09T07:40:13Z</dcterms:modified>
</cp:coreProperties>
</file>